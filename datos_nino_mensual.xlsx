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aarg-my.sharepoint.com/personal/lewczuk_nuria_inta_gob_ar/Documents/shiny_app/app_EMCBalcarce/"/>
    </mc:Choice>
  </mc:AlternateContent>
  <xr:revisionPtr revIDLastSave="404" documentId="8_{D6F50C59-027A-4885-8A20-DA8410D8D698}" xr6:coauthVersionLast="47" xr6:coauthVersionMax="47" xr10:uidLastSave="{63DA2B1F-7887-480E-94D3-124B45D33CB1}"/>
  <bookViews>
    <workbookView xWindow="-20610" yWindow="4575" windowWidth="20730" windowHeight="11040" xr2:uid="{8120B771-92F1-4794-9EFD-C5F0B4C602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36" i="1" l="1"/>
  <c r="O12" i="1"/>
  <c r="O2" i="1"/>
  <c r="O3" i="1"/>
  <c r="O4" i="1"/>
  <c r="O5" i="1"/>
  <c r="O6" i="1"/>
  <c r="O7" i="1"/>
  <c r="O8" i="1"/>
  <c r="O9" i="1"/>
  <c r="O10" i="1"/>
  <c r="O11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N414" i="1" s="1"/>
  <c r="J415" i="1"/>
  <c r="N415" i="1" s="1"/>
  <c r="J416" i="1"/>
  <c r="N416" i="1" s="1"/>
  <c r="J417" i="1"/>
  <c r="N417" i="1" s="1"/>
  <c r="J418" i="1"/>
  <c r="J419" i="1"/>
  <c r="J420" i="1"/>
  <c r="J421" i="1"/>
  <c r="J422" i="1"/>
  <c r="J424" i="1"/>
  <c r="J425" i="1"/>
  <c r="J426" i="1"/>
  <c r="J427" i="1"/>
  <c r="J428" i="1"/>
  <c r="J429" i="1"/>
  <c r="J430" i="1"/>
  <c r="J431" i="1"/>
  <c r="N431" i="1" s="1"/>
  <c r="J432" i="1"/>
  <c r="J433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N423" i="1" s="1"/>
  <c r="F424" i="1"/>
  <c r="N424" i="1" s="1"/>
  <c r="F425" i="1"/>
  <c r="N425" i="1" s="1"/>
  <c r="F426" i="1"/>
  <c r="F427" i="1"/>
  <c r="F428" i="1"/>
  <c r="F429" i="1"/>
  <c r="F430" i="1"/>
  <c r="F431" i="1"/>
  <c r="F432" i="1"/>
  <c r="F433" i="1"/>
  <c r="N429" i="1" l="1"/>
  <c r="N411" i="1"/>
  <c r="N399" i="1"/>
  <c r="N433" i="1"/>
  <c r="N432" i="1"/>
  <c r="N406" i="1"/>
  <c r="N427" i="1"/>
  <c r="N402" i="1"/>
  <c r="N418" i="1"/>
  <c r="N430" i="1"/>
  <c r="N428" i="1"/>
  <c r="N426" i="1"/>
  <c r="N419" i="1"/>
  <c r="N407" i="1"/>
  <c r="N409" i="1"/>
  <c r="N408" i="1"/>
  <c r="N398" i="1"/>
  <c r="N421" i="1"/>
  <c r="N410" i="1"/>
  <c r="N420" i="1"/>
  <c r="N422" i="1"/>
  <c r="N405" i="1"/>
  <c r="N404" i="1"/>
  <c r="N403" i="1"/>
  <c r="N413" i="1"/>
  <c r="N401" i="1"/>
  <c r="N412" i="1"/>
  <c r="N400" i="1"/>
</calcChain>
</file>

<file path=xl/sharedStrings.xml><?xml version="1.0" encoding="utf-8"?>
<sst xmlns="http://schemas.openxmlformats.org/spreadsheetml/2006/main" count="899" uniqueCount="32">
  <si>
    <t>Localidad</t>
  </si>
  <si>
    <t>Año</t>
  </si>
  <si>
    <t>Balcarce</t>
  </si>
  <si>
    <t>Tmax media (°C)</t>
  </si>
  <si>
    <t>Tmin media (°C)</t>
  </si>
  <si>
    <t>Tmedia media (°C)</t>
  </si>
  <si>
    <t>Prec acum (mm)</t>
  </si>
  <si>
    <t>Tmax media (°C) historica</t>
  </si>
  <si>
    <t>Tmin media (°C) historica</t>
  </si>
  <si>
    <t>Tmedia media (°C) historica</t>
  </si>
  <si>
    <t>Prec acum (mm) historica</t>
  </si>
  <si>
    <t>Tmax % cambio</t>
  </si>
  <si>
    <t>Tmin % cambio</t>
  </si>
  <si>
    <t>Tmedia % cambio</t>
  </si>
  <si>
    <t>Prec % cambio</t>
  </si>
  <si>
    <t>Mar del Plata</t>
  </si>
  <si>
    <t>Tandil</t>
  </si>
  <si>
    <t>SD</t>
  </si>
  <si>
    <t>Olavarría</t>
  </si>
  <si>
    <t>Azul</t>
  </si>
  <si>
    <t>Mes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</si>
  <si>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</si>
  <si>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</si>
  <si>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</si>
  <si>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</si>
  <si>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</si>
  <si>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</si>
  <si>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</si>
  <si>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</si>
  <si>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</si>
  <si>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Necochea</t>
  </si>
  <si>
    <t>Miramar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</si>
</sst>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3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5E338-8BAB-410F-8D2B-2FCCE170B7B1}" name="Tabla1" displayName="Tabla1" ref="A1:O433" totalsRowShown="0" headerRowDxfId="12">
  <autoFilter ref="A1:O433" xr:uid="{2915E338-8BAB-410F-8D2B-2FCCE170B7B1}">
    <filterColumn colId="1">
      <filters>
        <filter val="Balcarce"/>
      </filters>
    </filterColumn>
    <filterColumn colId="2">
      <filters>
        <filter val="Julio"/>
      </filters>
    </filterColumn>
  </autoFilter>
  <tableColumns count="15">
    <tableColumn id="1" xr3:uid="{8D58C604-7B9B-4E56-AE4E-E53465BD2FCA}" name="Año"/>
    <tableColumn id="2" xr3:uid="{8ED663FD-F228-4716-B726-5F338E03DD57}" name="Localidad"/>
    <tableColumn id="3" xr3:uid="{41769F12-FEB1-4D6F-98C4-A2B8F5F1E9B3}" name="Mes"/>
    <tableColumn id="4" xr3:uid="{8A6B3483-3BE0-410F-A472-BEEAFBE7D4CB}" name="Tmax media (°C) historica" dataDxfId="11"/>
    <tableColumn id="5" xr3:uid="{66699C80-9543-43FD-AC5B-1875D05150AC}" name="Tmin media (°C) historica" dataDxfId="10"/>
    <tableColumn id="6" xr3:uid="{5BE8131C-2508-4C49-B082-CC8226335BC3}" name="Tmedia media (°C) historica" dataDxfId="9"/>
    <tableColumn id="7" xr3:uid="{CB66DEE2-B305-40B7-8043-28838BDFC526}" name="Prec acum (mm) historica" dataDxfId="8"/>
    <tableColumn id="8" xr3:uid="{09B74D5E-45B5-4EB2-AAF9-69B1D974B7D0}" name="Tmax media (°C)" dataDxfId="7"/>
    <tableColumn id="9" xr3:uid="{B4EBFC4F-CD51-4AF0-853D-BA48980FC648}" name="Tmin media (°C)" dataDxfId="6"/>
    <tableColumn id="10" xr3:uid="{D73C680B-1C91-4E13-BCDE-EFFC893F0824}" name="Tmedia media (°C)" dataDxfId="5"/>
    <tableColumn id="11" xr3:uid="{4A782CF3-F832-48F8-9E8D-CC7155F7AC65}" name="Prec acum (mm)" dataDxfId="4"/>
    <tableColumn id="12" xr3:uid="{FF94DD61-B36F-4622-8410-CBC53F18AECE}" name="Tmax % cambio" dataDxfId="3">
      <calculatedColumnFormula>+(Tabla1[[#This Row],[Tmax media (°C)]]-Tabla1[[#This Row],[Tmax media (°C) historica]])/Tabla1[[#This Row],[Tmax media (°C) historica]]*100</calculatedColumnFormula>
    </tableColumn>
    <tableColumn id="13" xr3:uid="{61093368-99FB-4AB9-94F7-C2AA226E16AE}" name="Tmin % cambio" dataDxfId="2">
      <calculatedColumnFormula>+(Tabla1[[#This Row],[Tmin media (°C)]]-Tabla1[[#This Row],[Tmin media (°C) historica]])/Tabla1[[#This Row],[Tmin media (°C) historica]]*100</calculatedColumnFormula>
    </tableColumn>
    <tableColumn id="14" xr3:uid="{A1A08D58-10C4-4474-B7E7-5226D1032822}" name="Tmedia % cambio" dataDxfId="1">
      <calculatedColumnFormula>+(Tabla1[[#This Row],[Tmedia media (°C)]]-Tabla1[[#This Row],[Tmedia media (°C) historica]])/Tabla1[[#This Row],[Tmedia media (°C) historica]]*100</calculatedColumnFormula>
    </tableColumn>
    <tableColumn id="15" xr3:uid="{84256CCA-5AFC-49CB-8815-5C9B1C9A49D4}" name="Prec % cambio" dataDxfId="0">
      <calculatedColumnFormula>+(Tabla1[[#This Row],[Prec acum (mm)]]-Tabla1[[#This Row],[Prec acum (mm) historica]])/Tabla1[[#This Row],[Prec acum (mm) historica]]*100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52F3-4462-4A06-9EC7-8F74EFD1358E}">
  <dimension ref="A1:O436"/>
  <sheetViews>
    <sheetView tabSelected="1" workbookViewId="0">
      <selection activeCell="K12" sqref="A12:K12"/>
    </sheetView>
  </sheetViews>
  <sheetFormatPr baseColWidth="10" defaultRowHeight="15" x14ac:dyDescent="0.25"/>
  <cols>
    <col min="2" max="2" width="11.7109375" customWidth="1"/>
    <col min="4" max="4" width="24.140625" style="8" customWidth="1"/>
    <col min="5" max="5" width="23.5703125" style="8" customWidth="1"/>
    <col min="6" max="6" width="25.5703125" style="8" customWidth="1"/>
    <col min="7" max="7" width="24.28515625" style="8" customWidth="1"/>
    <col min="8" max="8" width="16.5703125" style="11" customWidth="1"/>
    <col min="9" max="9" width="16" style="11" customWidth="1"/>
    <col min="10" max="10" width="18" style="11" customWidth="1"/>
    <col min="11" max="11" width="16.7109375" style="11" customWidth="1"/>
    <col min="12" max="12" width="15.85546875" customWidth="1"/>
    <col min="13" max="13" width="15.28515625" customWidth="1"/>
    <col min="14" max="14" width="17.28515625" customWidth="1"/>
    <col min="15" max="15" width="15.140625" customWidth="1"/>
  </cols>
  <sheetData>
    <row r="1" spans="1:15" x14ac:dyDescent="0.25">
      <c r="A1" t="s">
        <v>1</v>
      </c>
      <c r="B1" t="s">
        <v>0</v>
      </c>
      <c r="C1" t="s">
        <v>20</v>
      </c>
      <c r="D1" s="5" t="s">
        <v>7</v>
      </c>
      <c r="E1" s="5" t="s">
        <v>8</v>
      </c>
      <c r="F1" s="5" t="s">
        <v>9</v>
      </c>
      <c r="G1" s="5" t="s">
        <v>10</v>
      </c>
      <c r="H1" s="9" t="s">
        <v>3</v>
      </c>
      <c r="I1" s="9" t="s">
        <v>4</v>
      </c>
      <c r="J1" s="9" t="s">
        <v>5</v>
      </c>
      <c r="K1" s="9" t="s">
        <v>6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hidden="1" x14ac:dyDescent="0.25">
      <c r="A2">
        <v>1982</v>
      </c>
      <c r="B2" t="s">
        <v>2</v>
      </c>
      <c r="C2" t="s">
        <v>21</v>
      </c>
      <c r="D2" s="6">
        <v>13.2</v>
      </c>
      <c r="E2" s="6">
        <v>3.2</v>
      </c>
      <c r="F2" s="6">
        <v>7.9</v>
      </c>
      <c r="G2" s="6">
        <v>36</v>
      </c>
      <c r="H2" s="10">
        <v>11.7</v>
      </c>
      <c r="I2" s="10">
        <v>3.5</v>
      </c>
      <c r="J2" s="10">
        <v>7.6</v>
      </c>
      <c r="K2" s="10">
        <v>36</v>
      </c>
      <c r="L2" s="3">
        <f>+(Tabla1[[#This Row],[Tmax media (°C)]]-Tabla1[[#This Row],[Tmax media (°C) historica]])/Tabla1[[#This Row],[Tmax media (°C) historica]]*100</f>
        <v>-11.363636363636365</v>
      </c>
      <c r="M2" s="3">
        <f>+(Tabla1[[#This Row],[Tmin media (°C)]]-Tabla1[[#This Row],[Tmin media (°C) historica]])/Tabla1[[#This Row],[Tmin media (°C) historica]]*100</f>
        <v>9.3749999999999947</v>
      </c>
      <c r="N2" s="3">
        <f>+(Tabla1[[#This Row],[Tmedia media (°C)]]-Tabla1[[#This Row],[Tmedia media (°C) historica]])/Tabla1[[#This Row],[Tmedia media (°C) historica]]*100</f>
        <v>-3.7974683544303889</v>
      </c>
      <c r="O2" s="3">
        <f>+(Tabla1[[#This Row],[Prec acum (mm)]]-Tabla1[[#This Row],[Prec acum (mm) historica]])/Tabla1[[#This Row],[Prec acum (mm) historica]]*100</f>
        <v>0</v>
      </c>
    </row>
    <row r="3" spans="1:15" hidden="1" x14ac:dyDescent="0.25">
      <c r="A3">
        <v>1987</v>
      </c>
      <c r="B3" t="s">
        <v>2</v>
      </c>
      <c r="C3" t="s">
        <v>21</v>
      </c>
      <c r="D3" s="6">
        <v>13.2</v>
      </c>
      <c r="E3" s="6">
        <v>3.2</v>
      </c>
      <c r="F3" s="6">
        <v>7.9</v>
      </c>
      <c r="G3" s="6">
        <v>36</v>
      </c>
      <c r="H3" s="10">
        <v>15.1</v>
      </c>
      <c r="I3" s="10">
        <v>1.6</v>
      </c>
      <c r="J3" s="10">
        <v>8.3000000000000007</v>
      </c>
      <c r="K3" s="10">
        <v>52</v>
      </c>
      <c r="L3" s="4">
        <f>+(Tabla1[[#This Row],[Tmax media (°C)]]-Tabla1[[#This Row],[Tmax media (°C) historica]])/Tabla1[[#This Row],[Tmax media (°C) historica]]*100</f>
        <v>14.393939393939398</v>
      </c>
      <c r="M3" s="4">
        <f>+(Tabla1[[#This Row],[Tmin media (°C)]]-Tabla1[[#This Row],[Tmin media (°C) historica]])/Tabla1[[#This Row],[Tmin media (°C) historica]]*100</f>
        <v>-50</v>
      </c>
      <c r="N3" s="4">
        <f>+(Tabla1[[#This Row],[Tmedia media (°C)]]-Tabla1[[#This Row],[Tmedia media (°C) historica]])/Tabla1[[#This Row],[Tmedia media (°C) historica]]*100</f>
        <v>5.0632911392405102</v>
      </c>
      <c r="O3" s="4">
        <f>+(Tabla1[[#This Row],[Prec acum (mm)]]-Tabla1[[#This Row],[Prec acum (mm) historica]])/Tabla1[[#This Row],[Prec acum (mm) historica]]*100</f>
        <v>44.444444444444443</v>
      </c>
    </row>
    <row r="4" spans="1:15" hidden="1" x14ac:dyDescent="0.25">
      <c r="A4">
        <v>1991</v>
      </c>
      <c r="B4" t="s">
        <v>2</v>
      </c>
      <c r="C4" t="s">
        <v>21</v>
      </c>
      <c r="D4" s="6">
        <v>13.9</v>
      </c>
      <c r="E4" s="6">
        <v>3</v>
      </c>
      <c r="F4" s="6">
        <v>8.6</v>
      </c>
      <c r="G4" s="6">
        <v>36</v>
      </c>
      <c r="H4" s="10">
        <v>12.5</v>
      </c>
      <c r="I4" s="10">
        <v>2.2000000000000002</v>
      </c>
      <c r="J4" s="10">
        <v>7.3</v>
      </c>
      <c r="K4" s="10">
        <v>130</v>
      </c>
      <c r="L4" s="3">
        <f>+(Tabla1[[#This Row],[Tmax media (°C)]]-Tabla1[[#This Row],[Tmax media (°C) historica]])/Tabla1[[#This Row],[Tmax media (°C) historica]]*100</f>
        <v>-10.071942446043169</v>
      </c>
      <c r="M4" s="3">
        <f>+(Tabla1[[#This Row],[Tmin media (°C)]]-Tabla1[[#This Row],[Tmin media (°C) historica]])/Tabla1[[#This Row],[Tmin media (°C) historica]]*100</f>
        <v>-26.666666666666661</v>
      </c>
      <c r="N4" s="3">
        <f>+(Tabla1[[#This Row],[Tmedia media (°C)]]-Tabla1[[#This Row],[Tmedia media (°C) historica]])/Tabla1[[#This Row],[Tmedia media (°C) historica]]*100</f>
        <v>-15.11627906976744</v>
      </c>
      <c r="O4" s="3">
        <f>+(Tabla1[[#This Row],[Prec acum (mm)]]-Tabla1[[#This Row],[Prec acum (mm) historica]])/Tabla1[[#This Row],[Prec acum (mm) historica]]*100</f>
        <v>261.11111111111114</v>
      </c>
    </row>
    <row r="5" spans="1:15" hidden="1" x14ac:dyDescent="0.25">
      <c r="A5">
        <v>1994</v>
      </c>
      <c r="B5" t="s">
        <v>2</v>
      </c>
      <c r="C5" t="s">
        <v>21</v>
      </c>
      <c r="D5" s="6">
        <v>13.9</v>
      </c>
      <c r="E5" s="6">
        <v>3</v>
      </c>
      <c r="F5" s="6">
        <v>8.6</v>
      </c>
      <c r="G5" s="6">
        <v>36</v>
      </c>
      <c r="H5" s="10">
        <v>14.5</v>
      </c>
      <c r="I5" s="10">
        <v>3.4</v>
      </c>
      <c r="J5" s="10">
        <v>8.9</v>
      </c>
      <c r="K5" s="10">
        <v>41</v>
      </c>
      <c r="L5" s="4">
        <f>+(Tabla1[[#This Row],[Tmax media (°C)]]-Tabla1[[#This Row],[Tmax media (°C) historica]])/Tabla1[[#This Row],[Tmax media (°C) historica]]*100</f>
        <v>4.3165467625899252</v>
      </c>
      <c r="M5" s="4">
        <f>+(Tabla1[[#This Row],[Tmin media (°C)]]-Tabla1[[#This Row],[Tmin media (°C) historica]])/Tabla1[[#This Row],[Tmin media (°C) historica]]*100</f>
        <v>13.33333333333333</v>
      </c>
      <c r="N5" s="4">
        <f>+(Tabla1[[#This Row],[Tmedia media (°C)]]-Tabla1[[#This Row],[Tmedia media (°C) historica]])/Tabla1[[#This Row],[Tmedia media (°C) historica]]*100</f>
        <v>3.4883720930232642</v>
      </c>
      <c r="O5" s="4">
        <f>+(Tabla1[[#This Row],[Prec acum (mm)]]-Tabla1[[#This Row],[Prec acum (mm) historica]])/Tabla1[[#This Row],[Prec acum (mm) historica]]*100</f>
        <v>13.888888888888889</v>
      </c>
    </row>
    <row r="6" spans="1:15" hidden="1" x14ac:dyDescent="0.25">
      <c r="A6">
        <v>1997</v>
      </c>
      <c r="B6" t="s">
        <v>2</v>
      </c>
      <c r="C6" t="s">
        <v>21</v>
      </c>
      <c r="D6" s="6">
        <v>13.9</v>
      </c>
      <c r="E6" s="6">
        <v>3</v>
      </c>
      <c r="F6" s="6">
        <v>8.6</v>
      </c>
      <c r="G6" s="6">
        <v>36</v>
      </c>
      <c r="H6" s="10">
        <v>13.1</v>
      </c>
      <c r="I6" s="10">
        <v>4.3</v>
      </c>
      <c r="J6" s="10">
        <v>8.6999999999999993</v>
      </c>
      <c r="K6" s="10">
        <v>103</v>
      </c>
      <c r="L6" s="3">
        <f>+(Tabla1[[#This Row],[Tmax media (°C)]]-Tabla1[[#This Row],[Tmax media (°C) historica]])/Tabla1[[#This Row],[Tmax media (°C) historica]]*100</f>
        <v>-5.7553956834532425</v>
      </c>
      <c r="M6" s="3">
        <f>+(Tabla1[[#This Row],[Tmin media (°C)]]-Tabla1[[#This Row],[Tmin media (°C) historica]])/Tabla1[[#This Row],[Tmin media (°C) historica]]*100</f>
        <v>43.333333333333329</v>
      </c>
      <c r="N6" s="3">
        <f>+(Tabla1[[#This Row],[Tmedia media (°C)]]-Tabla1[[#This Row],[Tmedia media (°C) historica]])/Tabla1[[#This Row],[Tmedia media (°C) historica]]*100</f>
        <v>1.1627906976744147</v>
      </c>
      <c r="O6" s="3">
        <f>+(Tabla1[[#This Row],[Prec acum (mm)]]-Tabla1[[#This Row],[Prec acum (mm) historica]])/Tabla1[[#This Row],[Prec acum (mm) historica]]*100</f>
        <v>186.11111111111111</v>
      </c>
    </row>
    <row r="7" spans="1:15" hidden="1" x14ac:dyDescent="0.25">
      <c r="A7">
        <v>2002</v>
      </c>
      <c r="B7" t="s">
        <v>2</v>
      </c>
      <c r="C7" t="s">
        <v>21</v>
      </c>
      <c r="D7" s="6">
        <v>13.9</v>
      </c>
      <c r="E7" s="6">
        <v>3</v>
      </c>
      <c r="F7" s="6">
        <v>8.6</v>
      </c>
      <c r="G7" s="6">
        <v>36</v>
      </c>
      <c r="H7" s="10">
        <v>12.5</v>
      </c>
      <c r="I7" s="10">
        <v>0.5</v>
      </c>
      <c r="J7" s="10">
        <v>6.5</v>
      </c>
      <c r="K7" s="10">
        <v>6</v>
      </c>
      <c r="L7" s="4">
        <f>+(Tabla1[[#This Row],[Tmax media (°C)]]-Tabla1[[#This Row],[Tmax media (°C) historica]])/Tabla1[[#This Row],[Tmax media (°C) historica]]*100</f>
        <v>-10.071942446043169</v>
      </c>
      <c r="M7" s="4">
        <f>+(Tabla1[[#This Row],[Tmin media (°C)]]-Tabla1[[#This Row],[Tmin media (°C) historica]])/Tabla1[[#This Row],[Tmin media (°C) historica]]*100</f>
        <v>-83.333333333333343</v>
      </c>
      <c r="N7" s="4">
        <f>+(Tabla1[[#This Row],[Tmedia media (°C)]]-Tabla1[[#This Row],[Tmedia media (°C) historica]])/Tabla1[[#This Row],[Tmedia media (°C) historica]]*100</f>
        <v>-24.418604651162788</v>
      </c>
      <c r="O7" s="4">
        <f>+(Tabla1[[#This Row],[Prec acum (mm)]]-Tabla1[[#This Row],[Prec acum (mm) historica]])/Tabla1[[#This Row],[Prec acum (mm) historica]]*100</f>
        <v>-83.333333333333343</v>
      </c>
    </row>
    <row r="8" spans="1:15" hidden="1" x14ac:dyDescent="0.25">
      <c r="A8">
        <v>2004</v>
      </c>
      <c r="B8" t="s">
        <v>2</v>
      </c>
      <c r="C8" t="s">
        <v>21</v>
      </c>
      <c r="D8" s="6">
        <v>13.9</v>
      </c>
      <c r="E8" s="6">
        <v>3</v>
      </c>
      <c r="F8" s="6">
        <v>8.6</v>
      </c>
      <c r="G8" s="6">
        <v>36</v>
      </c>
      <c r="H8" s="10">
        <v>14.9</v>
      </c>
      <c r="I8" s="10">
        <v>3.1</v>
      </c>
      <c r="J8" s="10">
        <v>9</v>
      </c>
      <c r="K8" s="10">
        <v>38</v>
      </c>
      <c r="L8" s="3">
        <f>+(Tabla1[[#This Row],[Tmax media (°C)]]-Tabla1[[#This Row],[Tmax media (°C) historica]])/Tabla1[[#This Row],[Tmax media (°C) historica]]*100</f>
        <v>7.1942446043165464</v>
      </c>
      <c r="M8" s="3">
        <f>+(Tabla1[[#This Row],[Tmin media (°C)]]-Tabla1[[#This Row],[Tmin media (°C) historica]])/Tabla1[[#This Row],[Tmin media (°C) historica]]*100</f>
        <v>3.3333333333333361</v>
      </c>
      <c r="N8" s="3">
        <f>+(Tabla1[[#This Row],[Tmedia media (°C)]]-Tabla1[[#This Row],[Tmedia media (°C) historica]])/Tabla1[[#This Row],[Tmedia media (°C) historica]]*100</f>
        <v>4.6511627906976782</v>
      </c>
      <c r="O8" s="3">
        <f>+(Tabla1[[#This Row],[Prec acum (mm)]]-Tabla1[[#This Row],[Prec acum (mm) historica]])/Tabla1[[#This Row],[Prec acum (mm) historica]]*100</f>
        <v>5.5555555555555554</v>
      </c>
    </row>
    <row r="9" spans="1:15" hidden="1" x14ac:dyDescent="0.25">
      <c r="A9">
        <v>2015</v>
      </c>
      <c r="B9" t="s">
        <v>2</v>
      </c>
      <c r="C9" t="s">
        <v>21</v>
      </c>
      <c r="D9" s="6">
        <v>13.9</v>
      </c>
      <c r="E9" s="6">
        <v>3</v>
      </c>
      <c r="F9" s="6">
        <v>8.6</v>
      </c>
      <c r="G9" s="6">
        <v>36</v>
      </c>
      <c r="H9" s="10">
        <v>15.3</v>
      </c>
      <c r="I9" s="10">
        <v>3.2</v>
      </c>
      <c r="J9" s="10">
        <v>9.3000000000000007</v>
      </c>
      <c r="K9" s="10">
        <v>25</v>
      </c>
      <c r="L9" s="4">
        <f>+(Tabla1[[#This Row],[Tmax media (°C)]]-Tabla1[[#This Row],[Tmax media (°C) historica]])/Tabla1[[#This Row],[Tmax media (°C) historica]]*100</f>
        <v>10.071942446043169</v>
      </c>
      <c r="M9" s="4">
        <f>+(Tabla1[[#This Row],[Tmin media (°C)]]-Tabla1[[#This Row],[Tmin media (°C) historica]])/Tabla1[[#This Row],[Tmin media (°C) historica]]*100</f>
        <v>6.6666666666666723</v>
      </c>
      <c r="N9" s="4">
        <f>+(Tabla1[[#This Row],[Tmedia media (°C)]]-Tabla1[[#This Row],[Tmedia media (°C) historica]])/Tabla1[[#This Row],[Tmedia media (°C) historica]]*100</f>
        <v>8.1395348837209429</v>
      </c>
      <c r="O9" s="4">
        <f>+(Tabla1[[#This Row],[Prec acum (mm)]]-Tabla1[[#This Row],[Prec acum (mm) historica]])/Tabla1[[#This Row],[Prec acum (mm) historica]]*100</f>
        <v>-30.555555555555557</v>
      </c>
    </row>
    <row r="10" spans="1:15" hidden="1" x14ac:dyDescent="0.25">
      <c r="A10">
        <v>2023</v>
      </c>
      <c r="B10" t="s">
        <v>2</v>
      </c>
      <c r="C10" t="s">
        <v>21</v>
      </c>
      <c r="D10" s="6">
        <v>13.9</v>
      </c>
      <c r="E10" s="6">
        <v>3</v>
      </c>
      <c r="F10" s="6">
        <v>8.6</v>
      </c>
      <c r="G10" s="6">
        <v>36</v>
      </c>
      <c r="H10" s="10">
        <v>14.3</v>
      </c>
      <c r="I10" s="10">
        <v>2.2000000000000002</v>
      </c>
      <c r="J10" s="10">
        <v>8.3000000000000007</v>
      </c>
      <c r="K10" s="10">
        <v>23</v>
      </c>
      <c r="L10" s="3">
        <f>+(Tabla1[[#This Row],[Tmax media (°C)]]-Tabla1[[#This Row],[Tmax media (°C) historica]])/Tabla1[[#This Row],[Tmax media (°C) historica]]*100</f>
        <v>2.8776978417266212</v>
      </c>
      <c r="M10" s="3">
        <f>+(Tabla1[[#This Row],[Tmin media (°C)]]-Tabla1[[#This Row],[Tmin media (°C) historica]])/Tabla1[[#This Row],[Tmin media (°C) historica]]*100</f>
        <v>-26.666666666666661</v>
      </c>
      <c r="N10" s="3">
        <f>+(Tabla1[[#This Row],[Tmedia media (°C)]]-Tabla1[[#This Row],[Tmedia media (°C) historica]])/Tabla1[[#This Row],[Tmedia media (°C) historica]]*100</f>
        <v>-3.4883720930232434</v>
      </c>
      <c r="O10" s="3">
        <f>+(Tabla1[[#This Row],[Prec acum (mm)]]-Tabla1[[#This Row],[Prec acum (mm) historica]])/Tabla1[[#This Row],[Prec acum (mm) historica]]*100</f>
        <v>-36.111111111111107</v>
      </c>
    </row>
    <row r="11" spans="1:15" x14ac:dyDescent="0.25">
      <c r="A11">
        <v>1982</v>
      </c>
      <c r="B11" t="s">
        <v>2</v>
      </c>
      <c r="C11" t="s">
        <v>22</v>
      </c>
      <c r="D11" s="6">
        <v>12.8</v>
      </c>
      <c r="E11" s="6">
        <v>1.6</v>
      </c>
      <c r="F11" s="6">
        <v>7.1</v>
      </c>
      <c r="G11" s="6">
        <v>20</v>
      </c>
      <c r="H11" s="10">
        <v>11.9</v>
      </c>
      <c r="I11" s="10">
        <v>2.9</v>
      </c>
      <c r="J11" s="10">
        <v>7.4</v>
      </c>
      <c r="K11" s="10">
        <v>16</v>
      </c>
      <c r="L11" s="3">
        <f>+(Tabla1[[#This Row],[Tmax media (°C)]]-Tabla1[[#This Row],[Tmax media (°C) historica]])/Tabla1[[#This Row],[Tmax media (°C) historica]]*100</f>
        <v>-7.0312500000000027</v>
      </c>
      <c r="M11" s="3">
        <f>+(Tabla1[[#This Row],[Tmin media (°C)]]-Tabla1[[#This Row],[Tmin media (°C) historica]])/Tabla1[[#This Row],[Tmin media (°C) historica]]*100</f>
        <v>81.249999999999986</v>
      </c>
      <c r="N11" s="3">
        <f>+(Tabla1[[#This Row],[Tmedia media (°C)]]-Tabla1[[#This Row],[Tmedia media (°C) historica]])/Tabla1[[#This Row],[Tmedia media (°C) historica]]*100</f>
        <v>4.2253521126760667</v>
      </c>
      <c r="O11" s="3">
        <f>+(Tabla1[[#This Row],[Prec acum (mm)]]-Tabla1[[#This Row],[Prec acum (mm) historica]])/Tabla1[[#This Row],[Prec acum (mm) historica]]*100</f>
        <v>-20</v>
      </c>
    </row>
    <row r="12" spans="1:15" x14ac:dyDescent="0.25">
      <c r="A12">
        <v>1987</v>
      </c>
      <c r="B12" t="s">
        <v>2</v>
      </c>
      <c r="C12" t="s">
        <v>22</v>
      </c>
      <c r="D12" s="6">
        <v>12.8</v>
      </c>
      <c r="E12" s="6">
        <v>1.6</v>
      </c>
      <c r="F12" s="6">
        <v>7.1</v>
      </c>
      <c r="G12" s="6">
        <v>20</v>
      </c>
      <c r="H12" s="10">
        <v>13.8</v>
      </c>
      <c r="I12" s="10">
        <v>4.8</v>
      </c>
      <c r="J12" s="10">
        <v>9.3000000000000007</v>
      </c>
      <c r="K12" s="10">
        <v>126</v>
      </c>
      <c r="L12" s="4">
        <f>+(Tabla1[[#This Row],[Tmax media (°C)]]-Tabla1[[#This Row],[Tmax media (°C) historica]])/Tabla1[[#This Row],[Tmax media (°C) historica]]*100</f>
        <v>7.8125</v>
      </c>
      <c r="M12" s="4">
        <f>+(Tabla1[[#This Row],[Tmin media (°C)]]-Tabla1[[#This Row],[Tmin media (°C) historica]])/Tabla1[[#This Row],[Tmin media (°C) historica]]*100</f>
        <v>199.99999999999997</v>
      </c>
      <c r="N12" s="4">
        <f>+(Tabla1[[#This Row],[Tmedia media (°C)]]-Tabla1[[#This Row],[Tmedia media (°C) historica]])/Tabla1[[#This Row],[Tmedia media (°C) historica]]*100</f>
        <v>30.985915492957762</v>
      </c>
      <c r="O12" s="4">
        <f>+(Tabla1[[#This Row],[Prec acum (mm)]]-Tabla1[[#This Row],[Prec acum (mm) historica]])/Tabla1[[#This Row],[Prec acum (mm) historica]]*100</f>
        <v>530</v>
      </c>
    </row>
    <row r="13" spans="1:15" x14ac:dyDescent="0.25">
      <c r="A13">
        <v>1991</v>
      </c>
      <c r="B13" t="s">
        <v>2</v>
      </c>
      <c r="C13" t="s">
        <v>22</v>
      </c>
      <c r="D13" s="6">
        <v>13.1</v>
      </c>
      <c r="E13" s="6">
        <v>1.6</v>
      </c>
      <c r="F13" s="6">
        <v>7.2</v>
      </c>
      <c r="G13" s="6">
        <v>34</v>
      </c>
      <c r="H13" s="10">
        <v>12.8</v>
      </c>
      <c r="I13" s="10">
        <v>1.3</v>
      </c>
      <c r="J13" s="10">
        <v>7.1</v>
      </c>
      <c r="K13" s="10">
        <v>18</v>
      </c>
      <c r="L13" s="3">
        <f>+(Tabla1[[#This Row],[Tmax media (°C)]]-Tabla1[[#This Row],[Tmax media (°C) historica]])/Tabla1[[#This Row],[Tmax media (°C) historica]]*100</f>
        <v>-2.2900763358778544</v>
      </c>
      <c r="M13" s="3">
        <f>+(Tabla1[[#This Row],[Tmin media (°C)]]-Tabla1[[#This Row],[Tmin media (°C) historica]])/Tabla1[[#This Row],[Tmin media (°C) historica]]*100</f>
        <v>-18.750000000000004</v>
      </c>
      <c r="N13" s="3">
        <f>+(Tabla1[[#This Row],[Tmedia media (°C)]]-Tabla1[[#This Row],[Tmedia media (°C) historica]])/Tabla1[[#This Row],[Tmedia media (°C) historica]]*100</f>
        <v>-1.3888888888888962</v>
      </c>
      <c r="O13" s="3">
        <f>+(Tabla1[[#This Row],[Prec acum (mm)]]-Tabla1[[#This Row],[Prec acum (mm) historica]])/Tabla1[[#This Row],[Prec acum (mm) historica]]*100</f>
        <v>-47.058823529411761</v>
      </c>
    </row>
    <row r="14" spans="1:15" x14ac:dyDescent="0.25">
      <c r="A14">
        <v>1994</v>
      </c>
      <c r="B14" t="s">
        <v>2</v>
      </c>
      <c r="C14" t="s">
        <v>22</v>
      </c>
      <c r="D14" s="6">
        <v>13.1</v>
      </c>
      <c r="E14" s="6">
        <v>1.6</v>
      </c>
      <c r="F14" s="6">
        <v>7.2</v>
      </c>
      <c r="G14" s="6">
        <v>34</v>
      </c>
      <c r="H14" s="10">
        <v>13.1</v>
      </c>
      <c r="I14" s="10">
        <v>0.9</v>
      </c>
      <c r="J14" s="10">
        <v>7</v>
      </c>
      <c r="K14" s="10">
        <v>15</v>
      </c>
      <c r="L14" s="4">
        <f>+(Tabla1[[#This Row],[Tmax media (°C)]]-Tabla1[[#This Row],[Tmax media (°C) historica]])/Tabla1[[#This Row],[Tmax media (°C) historica]]*100</f>
        <v>0</v>
      </c>
      <c r="M14" s="4">
        <f>+(Tabla1[[#This Row],[Tmin media (°C)]]-Tabla1[[#This Row],[Tmin media (°C) historica]])/Tabla1[[#This Row],[Tmin media (°C) historica]]*100</f>
        <v>-43.75</v>
      </c>
      <c r="N14" s="4">
        <f>+(Tabla1[[#This Row],[Tmedia media (°C)]]-Tabla1[[#This Row],[Tmedia media (°C) historica]])/Tabla1[[#This Row],[Tmedia media (°C) historica]]*100</f>
        <v>-2.7777777777777799</v>
      </c>
      <c r="O14" s="4">
        <f>+(Tabla1[[#This Row],[Prec acum (mm)]]-Tabla1[[#This Row],[Prec acum (mm) historica]])/Tabla1[[#This Row],[Prec acum (mm) historica]]*100</f>
        <v>-55.882352941176471</v>
      </c>
    </row>
    <row r="15" spans="1:15" x14ac:dyDescent="0.25">
      <c r="A15">
        <v>1997</v>
      </c>
      <c r="B15" t="s">
        <v>2</v>
      </c>
      <c r="C15" t="s">
        <v>22</v>
      </c>
      <c r="D15" s="6">
        <v>13.1</v>
      </c>
      <c r="E15" s="6">
        <v>1.6</v>
      </c>
      <c r="F15" s="6">
        <v>7.2</v>
      </c>
      <c r="G15" s="6">
        <v>34</v>
      </c>
      <c r="H15" s="10">
        <v>14.3</v>
      </c>
      <c r="I15" s="10">
        <v>4.0999999999999996</v>
      </c>
      <c r="J15" s="10">
        <v>9.1999999999999993</v>
      </c>
      <c r="K15" s="10">
        <v>44</v>
      </c>
      <c r="L15" s="3">
        <f>+(Tabla1[[#This Row],[Tmax media (°C)]]-Tabla1[[#This Row],[Tmax media (°C) historica]])/Tabla1[[#This Row],[Tmax media (°C) historica]]*100</f>
        <v>9.1603053435114585</v>
      </c>
      <c r="M15" s="3">
        <f>+(Tabla1[[#This Row],[Tmin media (°C)]]-Tabla1[[#This Row],[Tmin media (°C) historica]])/Tabla1[[#This Row],[Tmin media (°C) historica]]*100</f>
        <v>156.24999999999994</v>
      </c>
      <c r="N15" s="3">
        <f>+(Tabla1[[#This Row],[Tmedia media (°C)]]-Tabla1[[#This Row],[Tmedia media (°C) historica]])/Tabla1[[#This Row],[Tmedia media (°C) historica]]*100</f>
        <v>27.777777777777761</v>
      </c>
      <c r="O15" s="3">
        <f>+(Tabla1[[#This Row],[Prec acum (mm)]]-Tabla1[[#This Row],[Prec acum (mm) historica]])/Tabla1[[#This Row],[Prec acum (mm) historica]]*100</f>
        <v>29.411764705882355</v>
      </c>
    </row>
    <row r="16" spans="1:15" x14ac:dyDescent="0.25">
      <c r="A16">
        <v>2002</v>
      </c>
      <c r="B16" t="s">
        <v>2</v>
      </c>
      <c r="C16" t="s">
        <v>22</v>
      </c>
      <c r="D16" s="6">
        <v>13.1</v>
      </c>
      <c r="E16" s="6">
        <v>1.6</v>
      </c>
      <c r="F16" s="6">
        <v>7.2</v>
      </c>
      <c r="G16" s="6">
        <v>34</v>
      </c>
      <c r="H16" s="10">
        <v>12.7</v>
      </c>
      <c r="I16" s="10">
        <v>2.9</v>
      </c>
      <c r="J16" s="10">
        <v>7.8</v>
      </c>
      <c r="K16" s="10">
        <v>62</v>
      </c>
      <c r="L16" s="4">
        <f>+(Tabla1[[#This Row],[Tmax media (°C)]]-Tabla1[[#This Row],[Tmax media (°C) historica]])/Tabla1[[#This Row],[Tmax media (°C) historica]]*100</f>
        <v>-3.0534351145038197</v>
      </c>
      <c r="M16" s="4">
        <f>+(Tabla1[[#This Row],[Tmin media (°C)]]-Tabla1[[#This Row],[Tmin media (°C) historica]])/Tabla1[[#This Row],[Tmin media (°C) historica]]*100</f>
        <v>81.249999999999986</v>
      </c>
      <c r="N16" s="4">
        <f>+(Tabla1[[#This Row],[Tmedia media (°C)]]-Tabla1[[#This Row],[Tmedia media (°C) historica]])/Tabla1[[#This Row],[Tmedia media (°C) historica]]*100</f>
        <v>8.3333333333333286</v>
      </c>
      <c r="O16" s="4">
        <f>+(Tabla1[[#This Row],[Prec acum (mm)]]-Tabla1[[#This Row],[Prec acum (mm) historica]])/Tabla1[[#This Row],[Prec acum (mm) historica]]*100</f>
        <v>82.35294117647058</v>
      </c>
    </row>
    <row r="17" spans="1:15" x14ac:dyDescent="0.25">
      <c r="A17">
        <v>2004</v>
      </c>
      <c r="B17" t="s">
        <v>2</v>
      </c>
      <c r="C17" t="s">
        <v>22</v>
      </c>
      <c r="D17" s="6">
        <v>13.1</v>
      </c>
      <c r="E17" s="6">
        <v>1.6</v>
      </c>
      <c r="F17" s="6">
        <v>7.2</v>
      </c>
      <c r="G17" s="6">
        <v>34</v>
      </c>
      <c r="H17" s="10">
        <v>13.7</v>
      </c>
      <c r="I17" s="10">
        <v>2</v>
      </c>
      <c r="J17" s="10">
        <v>7.9</v>
      </c>
      <c r="K17" s="10">
        <v>78</v>
      </c>
      <c r="L17" s="3">
        <f>+(Tabla1[[#This Row],[Tmax media (°C)]]-Tabla1[[#This Row],[Tmax media (°C) historica]])/Tabla1[[#This Row],[Tmax media (°C) historica]]*100</f>
        <v>4.5801526717557222</v>
      </c>
      <c r="M17" s="3">
        <f>+(Tabla1[[#This Row],[Tmin media (°C)]]-Tabla1[[#This Row],[Tmin media (°C) historica]])/Tabla1[[#This Row],[Tmin media (°C) historica]]*100</f>
        <v>24.999999999999993</v>
      </c>
      <c r="N17" s="3">
        <f>+(Tabla1[[#This Row],[Tmedia media (°C)]]-Tabla1[[#This Row],[Tmedia media (°C) historica]])/Tabla1[[#This Row],[Tmedia media (°C) historica]]*100</f>
        <v>9.7222222222222232</v>
      </c>
      <c r="O17" s="3">
        <f>+(Tabla1[[#This Row],[Prec acum (mm)]]-Tabla1[[#This Row],[Prec acum (mm) historica]])/Tabla1[[#This Row],[Prec acum (mm) historica]]*100</f>
        <v>129.41176470588235</v>
      </c>
    </row>
    <row r="18" spans="1:15" x14ac:dyDescent="0.25">
      <c r="A18">
        <v>2015</v>
      </c>
      <c r="B18" t="s">
        <v>2</v>
      </c>
      <c r="C18" t="s">
        <v>22</v>
      </c>
      <c r="D18" s="6">
        <v>13.1</v>
      </c>
      <c r="E18" s="6">
        <v>1.6</v>
      </c>
      <c r="F18" s="6">
        <v>7.2</v>
      </c>
      <c r="G18" s="6">
        <v>34</v>
      </c>
      <c r="H18" s="10">
        <v>14.4</v>
      </c>
      <c r="I18" s="10">
        <v>2.6</v>
      </c>
      <c r="J18" s="10">
        <v>8.5</v>
      </c>
      <c r="K18" s="10">
        <v>52</v>
      </c>
      <c r="L18" s="4">
        <f>+(Tabla1[[#This Row],[Tmax media (°C)]]-Tabla1[[#This Row],[Tmax media (°C) historica]])/Tabla1[[#This Row],[Tmax media (°C) historica]]*100</f>
        <v>9.92366412213741</v>
      </c>
      <c r="M18" s="4">
        <f>+(Tabla1[[#This Row],[Tmin media (°C)]]-Tabla1[[#This Row],[Tmin media (°C) historica]])/Tabla1[[#This Row],[Tmin media (°C) historica]]*100</f>
        <v>62.5</v>
      </c>
      <c r="N18" s="4">
        <f>+(Tabla1[[#This Row],[Tmedia media (°C)]]-Tabla1[[#This Row],[Tmedia media (°C) historica]])/Tabla1[[#This Row],[Tmedia media (°C) historica]]*100</f>
        <v>18.055555555555554</v>
      </c>
      <c r="O18" s="4">
        <f>+(Tabla1[[#This Row],[Prec acum (mm)]]-Tabla1[[#This Row],[Prec acum (mm) historica]])/Tabla1[[#This Row],[Prec acum (mm) historica]]*100</f>
        <v>52.941176470588239</v>
      </c>
    </row>
    <row r="19" spans="1:15" x14ac:dyDescent="0.25">
      <c r="A19">
        <v>2023</v>
      </c>
      <c r="B19" t="s">
        <v>2</v>
      </c>
      <c r="C19" t="s">
        <v>22</v>
      </c>
      <c r="D19" s="6">
        <v>13.1</v>
      </c>
      <c r="E19" s="6">
        <v>1.6</v>
      </c>
      <c r="F19" s="6">
        <v>7.2</v>
      </c>
      <c r="G19" s="6">
        <v>34</v>
      </c>
      <c r="H19" s="10">
        <v>12.7</v>
      </c>
      <c r="I19" s="10">
        <v>3.5</v>
      </c>
      <c r="J19" s="10">
        <v>8.1</v>
      </c>
      <c r="K19" s="10">
        <v>61</v>
      </c>
      <c r="L19" s="3">
        <f>+(Tabla1[[#This Row],[Tmax media (°C)]]-Tabla1[[#This Row],[Tmax media (°C) historica]])/Tabla1[[#This Row],[Tmax media (°C) historica]]*100</f>
        <v>-3.0534351145038197</v>
      </c>
      <c r="M19" s="3">
        <f>+(Tabla1[[#This Row],[Tmin media (°C)]]-Tabla1[[#This Row],[Tmin media (°C) historica]])/Tabla1[[#This Row],[Tmin media (°C) historica]]*100</f>
        <v>118.74999999999997</v>
      </c>
      <c r="N19" s="3">
        <f>+(Tabla1[[#This Row],[Tmedia media (°C)]]-Tabla1[[#This Row],[Tmedia media (°C) historica]])/Tabla1[[#This Row],[Tmedia media (°C) historica]]*100</f>
        <v>12.499999999999991</v>
      </c>
      <c r="O19" s="3">
        <f>+(Tabla1[[#This Row],[Prec acum (mm)]]-Tabla1[[#This Row],[Prec acum (mm) historica]])/Tabla1[[#This Row],[Prec acum (mm) historica]]*100</f>
        <v>79.411764705882348</v>
      </c>
    </row>
    <row r="20" spans="1:15" hidden="1" x14ac:dyDescent="0.25">
      <c r="A20">
        <v>1982</v>
      </c>
      <c r="B20" t="s">
        <v>2</v>
      </c>
      <c r="C20" t="s">
        <v>23</v>
      </c>
      <c r="D20" s="6">
        <v>15.7</v>
      </c>
      <c r="E20" s="6">
        <v>3</v>
      </c>
      <c r="F20" s="6">
        <v>9.1</v>
      </c>
      <c r="G20" s="6">
        <v>37</v>
      </c>
      <c r="H20" s="10">
        <v>15.3</v>
      </c>
      <c r="I20" s="10">
        <v>2.7</v>
      </c>
      <c r="J20" s="10">
        <v>9</v>
      </c>
      <c r="K20" s="10">
        <v>7</v>
      </c>
      <c r="L20" s="3">
        <f>+(Tabla1[[#This Row],[Tmax media (°C)]]-Tabla1[[#This Row],[Tmax media (°C) historica]])/Tabla1[[#This Row],[Tmax media (°C) historica]]*100</f>
        <v>-2.5477707006369337</v>
      </c>
      <c r="M20" s="3">
        <f>+(Tabla1[[#This Row],[Tmin media (°C)]]-Tabla1[[#This Row],[Tmin media (°C) historica]])/Tabla1[[#This Row],[Tmin media (°C) historica]]*100</f>
        <v>-9.9999999999999929</v>
      </c>
      <c r="N20" s="3">
        <f>+(Tabla1[[#This Row],[Tmedia media (°C)]]-Tabla1[[#This Row],[Tmedia media (°C) historica]])/Tabla1[[#This Row],[Tmedia media (°C) historica]]*100</f>
        <v>-1.098901098901095</v>
      </c>
      <c r="O20" s="3">
        <f>+(Tabla1[[#This Row],[Prec acum (mm)]]-Tabla1[[#This Row],[Prec acum (mm) historica]])/Tabla1[[#This Row],[Prec acum (mm) historica]]*100</f>
        <v>-81.081081081081081</v>
      </c>
    </row>
    <row r="21" spans="1:15" hidden="1" x14ac:dyDescent="0.25">
      <c r="A21">
        <v>1987</v>
      </c>
      <c r="B21" t="s">
        <v>2</v>
      </c>
      <c r="C21" t="s">
        <v>23</v>
      </c>
      <c r="D21" s="6">
        <v>15.7</v>
      </c>
      <c r="E21" s="6">
        <v>3</v>
      </c>
      <c r="F21" s="6">
        <v>9.1</v>
      </c>
      <c r="G21" s="6">
        <v>37</v>
      </c>
      <c r="H21" s="10">
        <v>13.6</v>
      </c>
      <c r="I21" s="10">
        <v>3.8</v>
      </c>
      <c r="J21" s="10">
        <v>8.6999999999999993</v>
      </c>
      <c r="K21" s="10">
        <v>43</v>
      </c>
      <c r="L21" s="4">
        <f>+(Tabla1[[#This Row],[Tmax media (°C)]]-Tabla1[[#This Row],[Tmax media (°C) historica]])/Tabla1[[#This Row],[Tmax media (°C) historica]]*100</f>
        <v>-13.375796178343947</v>
      </c>
      <c r="M21" s="4">
        <f>+(Tabla1[[#This Row],[Tmin media (°C)]]-Tabla1[[#This Row],[Tmin media (°C) historica]])/Tabla1[[#This Row],[Tmin media (°C) historica]]*100</f>
        <v>26.666666666666661</v>
      </c>
      <c r="N21" s="4">
        <f>+(Tabla1[[#This Row],[Tmedia media (°C)]]-Tabla1[[#This Row],[Tmedia media (°C) historica]])/Tabla1[[#This Row],[Tmedia media (°C) historica]]*100</f>
        <v>-4.3956043956043995</v>
      </c>
      <c r="O21" s="4">
        <f>+(Tabla1[[#This Row],[Prec acum (mm)]]-Tabla1[[#This Row],[Prec acum (mm) historica]])/Tabla1[[#This Row],[Prec acum (mm) historica]]*100</f>
        <v>16.216216216216218</v>
      </c>
    </row>
    <row r="22" spans="1:15" hidden="1" x14ac:dyDescent="0.25">
      <c r="A22">
        <v>1991</v>
      </c>
      <c r="B22" t="s">
        <v>2</v>
      </c>
      <c r="C22" t="s">
        <v>23</v>
      </c>
      <c r="D22" s="6">
        <v>15.7</v>
      </c>
      <c r="E22" s="6">
        <v>2.8</v>
      </c>
      <c r="F22" s="6">
        <v>9.3000000000000007</v>
      </c>
      <c r="G22" s="6">
        <v>30</v>
      </c>
      <c r="H22" s="10">
        <v>15.6</v>
      </c>
      <c r="I22" s="10">
        <v>4.3</v>
      </c>
      <c r="J22" s="10">
        <v>10</v>
      </c>
      <c r="K22" s="10">
        <v>29</v>
      </c>
      <c r="L22" s="3">
        <f>+(Tabla1[[#This Row],[Tmax media (°C)]]-Tabla1[[#This Row],[Tmax media (°C) historica]])/Tabla1[[#This Row],[Tmax media (°C) historica]]*100</f>
        <v>-0.63694267515923342</v>
      </c>
      <c r="M22" s="3">
        <f>+(Tabla1[[#This Row],[Tmin media (°C)]]-Tabla1[[#This Row],[Tmin media (°C) historica]])/Tabla1[[#This Row],[Tmin media (°C) historica]]*100</f>
        <v>53.571428571428569</v>
      </c>
      <c r="N22" s="3">
        <f>+(Tabla1[[#This Row],[Tmedia media (°C)]]-Tabla1[[#This Row],[Tmedia media (°C) historica]])/Tabla1[[#This Row],[Tmedia media (°C) historica]]*100</f>
        <v>7.5268817204300991</v>
      </c>
      <c r="O22" s="3">
        <f>+(Tabla1[[#This Row],[Prec acum (mm)]]-Tabla1[[#This Row],[Prec acum (mm) historica]])/Tabla1[[#This Row],[Prec acum (mm) historica]]*100</f>
        <v>-3.3333333333333335</v>
      </c>
    </row>
    <row r="23" spans="1:15" hidden="1" x14ac:dyDescent="0.25">
      <c r="A23">
        <v>1994</v>
      </c>
      <c r="B23" t="s">
        <v>2</v>
      </c>
      <c r="C23" t="s">
        <v>23</v>
      </c>
      <c r="D23" s="6">
        <v>15.7</v>
      </c>
      <c r="E23" s="6">
        <v>2.8</v>
      </c>
      <c r="F23" s="6">
        <v>9.3000000000000007</v>
      </c>
      <c r="G23" s="6">
        <v>30</v>
      </c>
      <c r="H23" s="10">
        <v>15.7</v>
      </c>
      <c r="I23" s="10">
        <v>2.1</v>
      </c>
      <c r="J23" s="10">
        <v>8.9</v>
      </c>
      <c r="K23" s="10">
        <v>22</v>
      </c>
      <c r="L23" s="4">
        <f>+(Tabla1[[#This Row],[Tmax media (°C)]]-Tabla1[[#This Row],[Tmax media (°C) historica]])/Tabla1[[#This Row],[Tmax media (°C) historica]]*100</f>
        <v>0</v>
      </c>
      <c r="M23" s="4">
        <f>+(Tabla1[[#This Row],[Tmin media (°C)]]-Tabla1[[#This Row],[Tmin media (°C) historica]])/Tabla1[[#This Row],[Tmin media (°C) historica]]*100</f>
        <v>-24.999999999999993</v>
      </c>
      <c r="N23" s="4">
        <f>+(Tabla1[[#This Row],[Tmedia media (°C)]]-Tabla1[[#This Row],[Tmedia media (°C) historica]])/Tabla1[[#This Row],[Tmedia media (°C) historica]]*100</f>
        <v>-4.3010752688172085</v>
      </c>
      <c r="O23" s="4">
        <f>+(Tabla1[[#This Row],[Prec acum (mm)]]-Tabla1[[#This Row],[Prec acum (mm) historica]])/Tabla1[[#This Row],[Prec acum (mm) historica]]*100</f>
        <v>-26.666666666666668</v>
      </c>
    </row>
    <row r="24" spans="1:15" hidden="1" x14ac:dyDescent="0.25">
      <c r="A24">
        <v>1997</v>
      </c>
      <c r="B24" t="s">
        <v>2</v>
      </c>
      <c r="C24" t="s">
        <v>23</v>
      </c>
      <c r="D24" s="6">
        <v>15.7</v>
      </c>
      <c r="E24" s="6">
        <v>2.8</v>
      </c>
      <c r="F24" s="6">
        <v>9.3000000000000007</v>
      </c>
      <c r="G24" s="6">
        <v>30</v>
      </c>
      <c r="H24" s="10">
        <v>15.4</v>
      </c>
      <c r="I24" s="10">
        <v>4.5</v>
      </c>
      <c r="J24" s="10">
        <v>10</v>
      </c>
      <c r="K24" s="10">
        <v>67</v>
      </c>
      <c r="L24" s="3">
        <f>+(Tabla1[[#This Row],[Tmax media (°C)]]-Tabla1[[#This Row],[Tmax media (°C) historica]])/Tabla1[[#This Row],[Tmax media (°C) historica]]*100</f>
        <v>-1.9108280254777004</v>
      </c>
      <c r="M24" s="3">
        <f>+(Tabla1[[#This Row],[Tmin media (°C)]]-Tabla1[[#This Row],[Tmin media (°C) historica]])/Tabla1[[#This Row],[Tmin media (°C) historica]]*100</f>
        <v>60.714285714285722</v>
      </c>
      <c r="N24" s="3">
        <f>+(Tabla1[[#This Row],[Tmedia media (°C)]]-Tabla1[[#This Row],[Tmedia media (°C) historica]])/Tabla1[[#This Row],[Tmedia media (°C) historica]]*100</f>
        <v>7.5268817204300991</v>
      </c>
      <c r="O24" s="3">
        <f>+(Tabla1[[#This Row],[Prec acum (mm)]]-Tabla1[[#This Row],[Prec acum (mm) historica]])/Tabla1[[#This Row],[Prec acum (mm) historica]]*100</f>
        <v>123.33333333333334</v>
      </c>
    </row>
    <row r="25" spans="1:15" hidden="1" x14ac:dyDescent="0.25">
      <c r="A25">
        <v>2002</v>
      </c>
      <c r="B25" t="s">
        <v>2</v>
      </c>
      <c r="C25" t="s">
        <v>23</v>
      </c>
      <c r="D25" s="6">
        <v>15.7</v>
      </c>
      <c r="E25" s="6">
        <v>2.8</v>
      </c>
      <c r="F25" s="6">
        <v>9.3000000000000007</v>
      </c>
      <c r="G25" s="6">
        <v>30</v>
      </c>
      <c r="H25" s="10">
        <v>15.1</v>
      </c>
      <c r="I25" s="10">
        <v>5.4</v>
      </c>
      <c r="J25" s="10">
        <v>10.199999999999999</v>
      </c>
      <c r="K25" s="10">
        <v>124</v>
      </c>
      <c r="L25" s="4">
        <f>+(Tabla1[[#This Row],[Tmax media (°C)]]-Tabla1[[#This Row],[Tmax media (°C) historica]])/Tabla1[[#This Row],[Tmax media (°C) historica]]*100</f>
        <v>-3.8216560509554118</v>
      </c>
      <c r="M25" s="4">
        <f>+(Tabla1[[#This Row],[Tmin media (°C)]]-Tabla1[[#This Row],[Tmin media (°C) historica]])/Tabla1[[#This Row],[Tmin media (°C) historica]]*100</f>
        <v>92.85714285714289</v>
      </c>
      <c r="N25" s="4">
        <f>+(Tabla1[[#This Row],[Tmedia media (°C)]]-Tabla1[[#This Row],[Tmedia media (°C) historica]])/Tabla1[[#This Row],[Tmedia media (°C) historica]]*100</f>
        <v>9.677419354838694</v>
      </c>
      <c r="O25" s="4">
        <f>+(Tabla1[[#This Row],[Prec acum (mm)]]-Tabla1[[#This Row],[Prec acum (mm) historica]])/Tabla1[[#This Row],[Prec acum (mm) historica]]*100</f>
        <v>313.33333333333331</v>
      </c>
    </row>
    <row r="26" spans="1:15" hidden="1" x14ac:dyDescent="0.25">
      <c r="A26">
        <v>2004</v>
      </c>
      <c r="B26" t="s">
        <v>2</v>
      </c>
      <c r="C26" t="s">
        <v>23</v>
      </c>
      <c r="D26" s="6">
        <v>15.7</v>
      </c>
      <c r="E26" s="6">
        <v>2.8</v>
      </c>
      <c r="F26" s="6">
        <v>9.3000000000000007</v>
      </c>
      <c r="G26" s="6">
        <v>30</v>
      </c>
      <c r="H26" s="10">
        <v>14.5</v>
      </c>
      <c r="I26" s="10">
        <v>4</v>
      </c>
      <c r="J26" s="10">
        <v>9.1999999999999993</v>
      </c>
      <c r="K26" s="10">
        <v>112</v>
      </c>
      <c r="L26" s="3">
        <f>+(Tabla1[[#This Row],[Tmax media (°C)]]-Tabla1[[#This Row],[Tmax media (°C) historica]])/Tabla1[[#This Row],[Tmax media (°C) historica]]*100</f>
        <v>-7.6433121019108237</v>
      </c>
      <c r="M26" s="3">
        <f>+(Tabla1[[#This Row],[Tmin media (°C)]]-Tabla1[[#This Row],[Tmin media (°C) historica]])/Tabla1[[#This Row],[Tmin media (°C) historica]]*100</f>
        <v>42.857142857142868</v>
      </c>
      <c r="N26" s="3">
        <f>+(Tabla1[[#This Row],[Tmedia media (°C)]]-Tabla1[[#This Row],[Tmedia media (°C) historica]])/Tabla1[[#This Row],[Tmedia media (°C) historica]]*100</f>
        <v>-1.0752688172043163</v>
      </c>
      <c r="O26" s="3">
        <f>+(Tabla1[[#This Row],[Prec acum (mm)]]-Tabla1[[#This Row],[Prec acum (mm) historica]])/Tabla1[[#This Row],[Prec acum (mm) historica]]*100</f>
        <v>273.33333333333331</v>
      </c>
    </row>
    <row r="27" spans="1:15" hidden="1" x14ac:dyDescent="0.25">
      <c r="A27">
        <v>2015</v>
      </c>
      <c r="B27" t="s">
        <v>2</v>
      </c>
      <c r="C27" t="s">
        <v>23</v>
      </c>
      <c r="D27" s="6">
        <v>15.7</v>
      </c>
      <c r="E27" s="6">
        <v>2.8</v>
      </c>
      <c r="F27" s="6">
        <v>9.3000000000000007</v>
      </c>
      <c r="G27" s="6">
        <v>30</v>
      </c>
      <c r="H27" s="10">
        <v>15.9</v>
      </c>
      <c r="I27" s="10">
        <v>6</v>
      </c>
      <c r="J27" s="10">
        <v>11</v>
      </c>
      <c r="K27" s="10">
        <v>119</v>
      </c>
      <c r="L27" s="4">
        <f>+(Tabla1[[#This Row],[Tmax media (°C)]]-Tabla1[[#This Row],[Tmax media (°C) historica]])/Tabla1[[#This Row],[Tmax media (°C) historica]]*100</f>
        <v>1.2738853503184782</v>
      </c>
      <c r="M27" s="4">
        <f>+(Tabla1[[#This Row],[Tmin media (°C)]]-Tabla1[[#This Row],[Tmin media (°C) historica]])/Tabla1[[#This Row],[Tmin media (°C) historica]]*100</f>
        <v>114.28571428571431</v>
      </c>
      <c r="N27" s="4">
        <f>+(Tabla1[[#This Row],[Tmedia media (°C)]]-Tabla1[[#This Row],[Tmedia media (°C) historica]])/Tabla1[[#This Row],[Tmedia media (°C) historica]]*100</f>
        <v>18.279569892473109</v>
      </c>
      <c r="O27" s="4">
        <f>+(Tabla1[[#This Row],[Prec acum (mm)]]-Tabla1[[#This Row],[Prec acum (mm) historica]])/Tabla1[[#This Row],[Prec acum (mm) historica]]*100</f>
        <v>296.66666666666669</v>
      </c>
    </row>
    <row r="28" spans="1:15" hidden="1" x14ac:dyDescent="0.25">
      <c r="A28">
        <v>2023</v>
      </c>
      <c r="B28" t="s">
        <v>2</v>
      </c>
      <c r="C28" t="s">
        <v>23</v>
      </c>
      <c r="D28" s="6">
        <v>15.7</v>
      </c>
      <c r="E28" s="6">
        <v>2.8</v>
      </c>
      <c r="F28" s="6">
        <v>9.3000000000000007</v>
      </c>
      <c r="G28" s="6">
        <v>30</v>
      </c>
      <c r="H28" s="10">
        <v>15.6</v>
      </c>
      <c r="I28" s="10">
        <v>2.7</v>
      </c>
      <c r="J28" s="10">
        <v>9.1</v>
      </c>
      <c r="K28" s="10">
        <v>21</v>
      </c>
      <c r="L28" s="3">
        <f>+(Tabla1[[#This Row],[Tmax media (°C)]]-Tabla1[[#This Row],[Tmax media (°C) historica]])/Tabla1[[#This Row],[Tmax media (°C) historica]]*100</f>
        <v>-0.63694267515923342</v>
      </c>
      <c r="M28" s="3">
        <f>+(Tabla1[[#This Row],[Tmin media (°C)]]-Tabla1[[#This Row],[Tmin media (°C) historica]])/Tabla1[[#This Row],[Tmin media (°C) historica]]*100</f>
        <v>-3.5714285714285587</v>
      </c>
      <c r="N28" s="3">
        <f>+(Tabla1[[#This Row],[Tmedia media (°C)]]-Tabla1[[#This Row],[Tmedia media (°C) historica]])/Tabla1[[#This Row],[Tmedia media (°C) historica]]*100</f>
        <v>-2.1505376344086136</v>
      </c>
      <c r="O28" s="3">
        <f>+(Tabla1[[#This Row],[Prec acum (mm)]]-Tabla1[[#This Row],[Prec acum (mm) historica]])/Tabla1[[#This Row],[Prec acum (mm) historica]]*100</f>
        <v>-30</v>
      </c>
    </row>
    <row r="29" spans="1:15" hidden="1" x14ac:dyDescent="0.25">
      <c r="A29">
        <v>1982</v>
      </c>
      <c r="B29" t="s">
        <v>2</v>
      </c>
      <c r="C29" t="s">
        <v>24</v>
      </c>
      <c r="D29" s="6">
        <v>17.399999999999999</v>
      </c>
      <c r="E29" s="6">
        <v>3.6</v>
      </c>
      <c r="F29" s="6">
        <v>10.9</v>
      </c>
      <c r="G29" s="6">
        <v>51</v>
      </c>
      <c r="H29" s="10">
        <v>17.3</v>
      </c>
      <c r="I29" s="10">
        <v>6.7</v>
      </c>
      <c r="J29" s="10">
        <v>12</v>
      </c>
      <c r="K29" s="10">
        <v>116</v>
      </c>
      <c r="L29" s="3">
        <f>+(Tabla1[[#This Row],[Tmax media (°C)]]-Tabla1[[#This Row],[Tmax media (°C) historica]])/Tabla1[[#This Row],[Tmax media (°C) historica]]*100</f>
        <v>-0.57471264367814867</v>
      </c>
      <c r="M29" s="3">
        <f>+(Tabla1[[#This Row],[Tmin media (°C)]]-Tabla1[[#This Row],[Tmin media (°C) historica]])/Tabla1[[#This Row],[Tmin media (°C) historica]]*100</f>
        <v>86.111111111111114</v>
      </c>
      <c r="N29" s="3">
        <f>+(Tabla1[[#This Row],[Tmedia media (°C)]]-Tabla1[[#This Row],[Tmedia media (°C) historica]])/Tabla1[[#This Row],[Tmedia media (°C) historica]]*100</f>
        <v>10.091743119266052</v>
      </c>
      <c r="O29" s="3">
        <f>+(Tabla1[[#This Row],[Prec acum (mm)]]-Tabla1[[#This Row],[Prec acum (mm) historica]])/Tabla1[[#This Row],[Prec acum (mm) historica]]*100</f>
        <v>127.45098039215685</v>
      </c>
    </row>
    <row r="30" spans="1:15" hidden="1" x14ac:dyDescent="0.25">
      <c r="A30">
        <v>1987</v>
      </c>
      <c r="B30" t="s">
        <v>2</v>
      </c>
      <c r="C30" t="s">
        <v>24</v>
      </c>
      <c r="D30" s="6">
        <v>17.399999999999999</v>
      </c>
      <c r="E30" s="6">
        <v>3.6</v>
      </c>
      <c r="F30" s="6">
        <v>10.9</v>
      </c>
      <c r="G30" s="6">
        <v>51</v>
      </c>
      <c r="H30" s="10">
        <v>16.2</v>
      </c>
      <c r="I30" s="10">
        <v>3.4</v>
      </c>
      <c r="J30" s="10">
        <v>9.8000000000000007</v>
      </c>
      <c r="K30" s="10">
        <v>28</v>
      </c>
      <c r="L30" s="4">
        <f>+(Tabla1[[#This Row],[Tmax media (°C)]]-Tabla1[[#This Row],[Tmax media (°C) historica]])/Tabla1[[#This Row],[Tmax media (°C) historica]]*100</f>
        <v>-6.8965517241379279</v>
      </c>
      <c r="M30" s="4">
        <f>+(Tabla1[[#This Row],[Tmin media (°C)]]-Tabla1[[#This Row],[Tmin media (°C) historica]])/Tabla1[[#This Row],[Tmin media (°C) historica]]*100</f>
        <v>-5.5555555555555598</v>
      </c>
      <c r="N30" s="4">
        <f>+(Tabla1[[#This Row],[Tmedia media (°C)]]-Tabla1[[#This Row],[Tmedia media (°C) historica]])/Tabla1[[#This Row],[Tmedia media (°C) historica]]*100</f>
        <v>-10.091743119266052</v>
      </c>
      <c r="O30" s="4">
        <f>+(Tabla1[[#This Row],[Prec acum (mm)]]-Tabla1[[#This Row],[Prec acum (mm) historica]])/Tabla1[[#This Row],[Prec acum (mm) historica]]*100</f>
        <v>-45.098039215686278</v>
      </c>
    </row>
    <row r="31" spans="1:15" hidden="1" x14ac:dyDescent="0.25">
      <c r="A31">
        <v>1991</v>
      </c>
      <c r="B31" t="s">
        <v>2</v>
      </c>
      <c r="C31" t="s">
        <v>24</v>
      </c>
      <c r="D31" s="6">
        <v>17.600000000000001</v>
      </c>
      <c r="E31" s="6">
        <v>3.9</v>
      </c>
      <c r="F31" s="6">
        <v>10.9</v>
      </c>
      <c r="G31" s="6">
        <v>59</v>
      </c>
      <c r="H31" s="10">
        <v>17.899999999999999</v>
      </c>
      <c r="I31" s="10">
        <v>7.1</v>
      </c>
      <c r="J31" s="10">
        <v>12.5</v>
      </c>
      <c r="K31" s="10">
        <v>68</v>
      </c>
      <c r="L31" s="3">
        <f>+(Tabla1[[#This Row],[Tmax media (°C)]]-Tabla1[[#This Row],[Tmax media (°C) historica]])/Tabla1[[#This Row],[Tmax media (°C) historica]]*100</f>
        <v>1.7045454545454382</v>
      </c>
      <c r="M31" s="3">
        <f>+(Tabla1[[#This Row],[Tmin media (°C)]]-Tabla1[[#This Row],[Tmin media (°C) historica]])/Tabla1[[#This Row],[Tmin media (°C) historica]]*100</f>
        <v>82.051282051282044</v>
      </c>
      <c r="N31" s="3">
        <f>+(Tabla1[[#This Row],[Tmedia media (°C)]]-Tabla1[[#This Row],[Tmedia media (°C) historica]])/Tabla1[[#This Row],[Tmedia media (°C) historica]]*100</f>
        <v>14.678899082568803</v>
      </c>
      <c r="O31" s="3">
        <f>+(Tabla1[[#This Row],[Prec acum (mm)]]-Tabla1[[#This Row],[Prec acum (mm) historica]])/Tabla1[[#This Row],[Prec acum (mm) historica]]*100</f>
        <v>15.254237288135593</v>
      </c>
    </row>
    <row r="32" spans="1:15" hidden="1" x14ac:dyDescent="0.25">
      <c r="A32">
        <v>1994</v>
      </c>
      <c r="B32" t="s">
        <v>2</v>
      </c>
      <c r="C32" t="s">
        <v>24</v>
      </c>
      <c r="D32" s="6">
        <v>17.600000000000001</v>
      </c>
      <c r="E32" s="6">
        <v>3.9</v>
      </c>
      <c r="F32" s="6">
        <v>10.9</v>
      </c>
      <c r="G32" s="6">
        <v>59</v>
      </c>
      <c r="H32" s="10">
        <v>17.7</v>
      </c>
      <c r="I32" s="10">
        <v>5.5</v>
      </c>
      <c r="J32" s="10">
        <v>11.6</v>
      </c>
      <c r="K32" s="10">
        <v>46</v>
      </c>
      <c r="L32" s="4">
        <f>+(Tabla1[[#This Row],[Tmax media (°C)]]-Tabla1[[#This Row],[Tmax media (°C) historica]])/Tabla1[[#This Row],[Tmax media (°C) historica]]*100</f>
        <v>0.56818181818180602</v>
      </c>
      <c r="M32" s="4">
        <f>+(Tabla1[[#This Row],[Tmin media (°C)]]-Tabla1[[#This Row],[Tmin media (°C) historica]])/Tabla1[[#This Row],[Tmin media (°C) historica]]*100</f>
        <v>41.025641025641029</v>
      </c>
      <c r="N32" s="4">
        <f>+(Tabla1[[#This Row],[Tmedia media (°C)]]-Tabla1[[#This Row],[Tmedia media (°C) historica]])/Tabla1[[#This Row],[Tmedia media (°C) historica]]*100</f>
        <v>6.4220183486238467</v>
      </c>
      <c r="O32" s="4">
        <f>+(Tabla1[[#This Row],[Prec acum (mm)]]-Tabla1[[#This Row],[Prec acum (mm) historica]])/Tabla1[[#This Row],[Prec acum (mm) historica]]*100</f>
        <v>-22.033898305084744</v>
      </c>
    </row>
    <row r="33" spans="1:15" hidden="1" x14ac:dyDescent="0.25">
      <c r="A33">
        <v>1997</v>
      </c>
      <c r="B33" t="s">
        <v>2</v>
      </c>
      <c r="C33" t="s">
        <v>24</v>
      </c>
      <c r="D33" s="6">
        <v>17.600000000000001</v>
      </c>
      <c r="E33" s="6">
        <v>3.9</v>
      </c>
      <c r="F33" s="6">
        <v>10.9</v>
      </c>
      <c r="G33" s="6">
        <v>59</v>
      </c>
      <c r="H33" s="10">
        <v>16.5</v>
      </c>
      <c r="I33" s="10">
        <v>3.4</v>
      </c>
      <c r="J33" s="10">
        <v>10</v>
      </c>
      <c r="K33" s="10">
        <v>15</v>
      </c>
      <c r="L33" s="3">
        <f>+(Tabla1[[#This Row],[Tmax media (°C)]]-Tabla1[[#This Row],[Tmax media (°C) historica]])/Tabla1[[#This Row],[Tmax media (°C) historica]]*100</f>
        <v>-6.2500000000000071</v>
      </c>
      <c r="M33" s="3">
        <f>+(Tabla1[[#This Row],[Tmin media (°C)]]-Tabla1[[#This Row],[Tmin media (°C) historica]])/Tabla1[[#This Row],[Tmin media (°C) historica]]*100</f>
        <v>-12.820512820512823</v>
      </c>
      <c r="N33" s="3">
        <f>+(Tabla1[[#This Row],[Tmedia media (°C)]]-Tabla1[[#This Row],[Tmedia media (°C) historica]])/Tabla1[[#This Row],[Tmedia media (°C) historica]]*100</f>
        <v>-8.256880733944957</v>
      </c>
      <c r="O33" s="3">
        <f>+(Tabla1[[#This Row],[Prec acum (mm)]]-Tabla1[[#This Row],[Prec acum (mm) historica]])/Tabla1[[#This Row],[Prec acum (mm) historica]]*100</f>
        <v>-74.576271186440678</v>
      </c>
    </row>
    <row r="34" spans="1:15" hidden="1" x14ac:dyDescent="0.25">
      <c r="A34">
        <v>2002</v>
      </c>
      <c r="B34" t="s">
        <v>2</v>
      </c>
      <c r="C34" t="s">
        <v>24</v>
      </c>
      <c r="D34" s="6">
        <v>17.600000000000001</v>
      </c>
      <c r="E34" s="6">
        <v>3.9</v>
      </c>
      <c r="F34" s="6">
        <v>10.9</v>
      </c>
      <c r="G34" s="6">
        <v>59</v>
      </c>
      <c r="H34" s="10">
        <v>16.899999999999999</v>
      </c>
      <c r="I34" s="10">
        <v>5.8</v>
      </c>
      <c r="J34" s="10">
        <v>11.3</v>
      </c>
      <c r="K34" s="10">
        <v>89</v>
      </c>
      <c r="L34" s="4">
        <f>+(Tabla1[[#This Row],[Tmax media (°C)]]-Tabla1[[#This Row],[Tmax media (°C) historica]])/Tabla1[[#This Row],[Tmax media (°C) historica]]*100</f>
        <v>-3.9772727272727431</v>
      </c>
      <c r="M34" s="4">
        <f>+(Tabla1[[#This Row],[Tmin media (°C)]]-Tabla1[[#This Row],[Tmin media (°C) historica]])/Tabla1[[#This Row],[Tmin media (°C) historica]]*100</f>
        <v>48.717948717948715</v>
      </c>
      <c r="N34" s="4">
        <f>+(Tabla1[[#This Row],[Tmedia media (°C)]]-Tabla1[[#This Row],[Tmedia media (°C) historica]])/Tabla1[[#This Row],[Tmedia media (°C) historica]]*100</f>
        <v>3.6697247706422047</v>
      </c>
      <c r="O34" s="4">
        <f>+(Tabla1[[#This Row],[Prec acum (mm)]]-Tabla1[[#This Row],[Prec acum (mm) historica]])/Tabla1[[#This Row],[Prec acum (mm) historica]]*100</f>
        <v>50.847457627118644</v>
      </c>
    </row>
    <row r="35" spans="1:15" hidden="1" x14ac:dyDescent="0.25">
      <c r="A35">
        <v>2004</v>
      </c>
      <c r="B35" t="s">
        <v>2</v>
      </c>
      <c r="C35" t="s">
        <v>24</v>
      </c>
      <c r="D35" s="6">
        <v>17.600000000000001</v>
      </c>
      <c r="E35" s="6">
        <v>3.9</v>
      </c>
      <c r="F35" s="6">
        <v>10.9</v>
      </c>
      <c r="G35" s="6">
        <v>59</v>
      </c>
      <c r="H35" s="10">
        <v>18.2</v>
      </c>
      <c r="I35" s="10">
        <v>3.7</v>
      </c>
      <c r="J35" s="10">
        <v>10.9</v>
      </c>
      <c r="K35" s="10">
        <v>17</v>
      </c>
      <c r="L35" s="3">
        <f>+(Tabla1[[#This Row],[Tmax media (°C)]]-Tabla1[[#This Row],[Tmax media (°C) historica]])/Tabla1[[#This Row],[Tmax media (°C) historica]]*100</f>
        <v>3.4090909090908972</v>
      </c>
      <c r="M35" s="3">
        <f>+(Tabla1[[#This Row],[Tmin media (°C)]]-Tabla1[[#This Row],[Tmin media (°C) historica]])/Tabla1[[#This Row],[Tmin media (°C) historica]]*100</f>
        <v>-5.1282051282051215</v>
      </c>
      <c r="N35" s="3">
        <f>+(Tabla1[[#This Row],[Tmedia media (°C)]]-Tabla1[[#This Row],[Tmedia media (°C) historica]])/Tabla1[[#This Row],[Tmedia media (°C) historica]]*100</f>
        <v>0</v>
      </c>
      <c r="O35" s="3">
        <f>+(Tabla1[[#This Row],[Prec acum (mm)]]-Tabla1[[#This Row],[Prec acum (mm) historica]])/Tabla1[[#This Row],[Prec acum (mm) historica]]*100</f>
        <v>-71.186440677966104</v>
      </c>
    </row>
    <row r="36" spans="1:15" hidden="1" x14ac:dyDescent="0.25">
      <c r="A36">
        <v>2015</v>
      </c>
      <c r="B36" t="s">
        <v>2</v>
      </c>
      <c r="C36" t="s">
        <v>24</v>
      </c>
      <c r="D36" s="6">
        <v>17.600000000000001</v>
      </c>
      <c r="E36" s="6">
        <v>3.9</v>
      </c>
      <c r="F36" s="6">
        <v>10.9</v>
      </c>
      <c r="G36" s="6">
        <v>59</v>
      </c>
      <c r="H36" s="10">
        <v>16.899999999999999</v>
      </c>
      <c r="I36" s="10">
        <v>3.5</v>
      </c>
      <c r="J36" s="10">
        <v>10.199999999999999</v>
      </c>
      <c r="K36" s="10">
        <v>10</v>
      </c>
      <c r="L36" s="4">
        <f>+(Tabla1[[#This Row],[Tmax media (°C)]]-Tabla1[[#This Row],[Tmax media (°C) historica]])/Tabla1[[#This Row],[Tmax media (°C) historica]]*100</f>
        <v>-3.9772727272727431</v>
      </c>
      <c r="M36" s="4">
        <f>+(Tabla1[[#This Row],[Tmin media (°C)]]-Tabla1[[#This Row],[Tmin media (°C) historica]])/Tabla1[[#This Row],[Tmin media (°C) historica]]*100</f>
        <v>-10.256410256410255</v>
      </c>
      <c r="N36" s="4">
        <f>+(Tabla1[[#This Row],[Tmedia media (°C)]]-Tabla1[[#This Row],[Tmedia media (°C) historica]])/Tabla1[[#This Row],[Tmedia media (°C) historica]]*100</f>
        <v>-6.4220183486238636</v>
      </c>
      <c r="O36" s="4">
        <f>+(Tabla1[[#This Row],[Prec acum (mm)]]-Tabla1[[#This Row],[Prec acum (mm) historica]])/Tabla1[[#This Row],[Prec acum (mm) historica]]*100</f>
        <v>-83.050847457627114</v>
      </c>
    </row>
    <row r="37" spans="1:15" hidden="1" x14ac:dyDescent="0.25">
      <c r="A37">
        <v>2023</v>
      </c>
      <c r="B37" t="s">
        <v>2</v>
      </c>
      <c r="C37" t="s">
        <v>24</v>
      </c>
      <c r="D37" s="6">
        <v>17.600000000000001</v>
      </c>
      <c r="E37" s="6">
        <v>3.9</v>
      </c>
      <c r="F37" s="6">
        <v>10.9</v>
      </c>
      <c r="G37" s="6">
        <v>59</v>
      </c>
      <c r="H37" s="10">
        <v>16.899999999999999</v>
      </c>
      <c r="I37" s="10">
        <v>4.7</v>
      </c>
      <c r="J37" s="10">
        <v>10.8</v>
      </c>
      <c r="K37" s="10">
        <v>39</v>
      </c>
      <c r="L37" s="3">
        <f>+(Tabla1[[#This Row],[Tmax media (°C)]]-Tabla1[[#This Row],[Tmax media (°C) historica]])/Tabla1[[#This Row],[Tmax media (°C) historica]]*100</f>
        <v>-3.9772727272727431</v>
      </c>
      <c r="M37" s="3">
        <f>+(Tabla1[[#This Row],[Tmin media (°C)]]-Tabla1[[#This Row],[Tmin media (°C) historica]])/Tabla1[[#This Row],[Tmin media (°C) historica]]*100</f>
        <v>20.512820512820522</v>
      </c>
      <c r="N37" s="3">
        <f>+(Tabla1[[#This Row],[Tmedia media (°C)]]-Tabla1[[#This Row],[Tmedia media (°C) historica]])/Tabla1[[#This Row],[Tmedia media (°C) historica]]*100</f>
        <v>-0.91743119266054718</v>
      </c>
      <c r="O37" s="3">
        <f>+(Tabla1[[#This Row],[Prec acum (mm)]]-Tabla1[[#This Row],[Prec acum (mm) historica]])/Tabla1[[#This Row],[Prec acum (mm) historica]]*100</f>
        <v>-33.898305084745758</v>
      </c>
    </row>
    <row r="38" spans="1:15" hidden="1" x14ac:dyDescent="0.25">
      <c r="A38">
        <v>1982</v>
      </c>
      <c r="B38" t="s">
        <v>2</v>
      </c>
      <c r="C38" t="s">
        <v>25</v>
      </c>
      <c r="D38" s="6">
        <v>20.5</v>
      </c>
      <c r="E38" s="6">
        <v>7.9</v>
      </c>
      <c r="F38" s="6">
        <v>14.4</v>
      </c>
      <c r="G38" s="6">
        <v>80</v>
      </c>
      <c r="H38" s="10">
        <v>20.2</v>
      </c>
      <c r="I38" s="10">
        <v>6.7</v>
      </c>
      <c r="J38" s="10">
        <v>13.4</v>
      </c>
      <c r="K38" s="10">
        <v>164</v>
      </c>
      <c r="L38" s="3">
        <f>+(Tabla1[[#This Row],[Tmax media (°C)]]-Tabla1[[#This Row],[Tmax media (°C) historica]])/Tabla1[[#This Row],[Tmax media (°C) historica]]*100</f>
        <v>-1.4634146341463448</v>
      </c>
      <c r="M38" s="3">
        <f>+(Tabla1[[#This Row],[Tmin media (°C)]]-Tabla1[[#This Row],[Tmin media (°C) historica]])/Tabla1[[#This Row],[Tmin media (°C) historica]]*100</f>
        <v>-15.18987341772152</v>
      </c>
      <c r="N38" s="3">
        <f>+(Tabla1[[#This Row],[Tmedia media (°C)]]-Tabla1[[#This Row],[Tmedia media (°C) historica]])/Tabla1[[#This Row],[Tmedia media (°C) historica]]*100</f>
        <v>-6.9444444444444446</v>
      </c>
      <c r="O38" s="3">
        <f>+(Tabla1[[#This Row],[Prec acum (mm)]]-Tabla1[[#This Row],[Prec acum (mm) historica]])/Tabla1[[#This Row],[Prec acum (mm) historica]]*100</f>
        <v>105</v>
      </c>
    </row>
    <row r="39" spans="1:15" hidden="1" x14ac:dyDescent="0.25">
      <c r="A39">
        <v>1987</v>
      </c>
      <c r="B39" t="s">
        <v>2</v>
      </c>
      <c r="C39" t="s">
        <v>25</v>
      </c>
      <c r="D39" s="6">
        <v>20.5</v>
      </c>
      <c r="E39" s="6">
        <v>7.9</v>
      </c>
      <c r="F39" s="6">
        <v>14.4</v>
      </c>
      <c r="G39" s="6">
        <v>80</v>
      </c>
      <c r="H39" s="10">
        <v>20.5</v>
      </c>
      <c r="I39" s="10">
        <v>8.1999999999999993</v>
      </c>
      <c r="J39" s="10">
        <v>14.4</v>
      </c>
      <c r="K39" s="10">
        <v>74</v>
      </c>
      <c r="L39" s="4">
        <f>+(Tabla1[[#This Row],[Tmax media (°C)]]-Tabla1[[#This Row],[Tmax media (°C) historica]])/Tabla1[[#This Row],[Tmax media (°C) historica]]*100</f>
        <v>0</v>
      </c>
      <c r="M39" s="4">
        <f>+(Tabla1[[#This Row],[Tmin media (°C)]]-Tabla1[[#This Row],[Tmin media (°C) historica]])/Tabla1[[#This Row],[Tmin media (°C) historica]]*100</f>
        <v>3.7974683544303658</v>
      </c>
      <c r="N39" s="4">
        <f>+(Tabla1[[#This Row],[Tmedia media (°C)]]-Tabla1[[#This Row],[Tmedia media (°C) historica]])/Tabla1[[#This Row],[Tmedia media (°C) historica]]*100</f>
        <v>0</v>
      </c>
      <c r="O39" s="4">
        <f>+(Tabla1[[#This Row],[Prec acum (mm)]]-Tabla1[[#This Row],[Prec acum (mm) historica]])/Tabla1[[#This Row],[Prec acum (mm) historica]]*100</f>
        <v>-7.5</v>
      </c>
    </row>
    <row r="40" spans="1:15" hidden="1" x14ac:dyDescent="0.25">
      <c r="A40">
        <v>1991</v>
      </c>
      <c r="B40" t="s">
        <v>2</v>
      </c>
      <c r="C40" t="s">
        <v>25</v>
      </c>
      <c r="D40" s="6">
        <v>20.8</v>
      </c>
      <c r="E40" s="6">
        <v>7.7</v>
      </c>
      <c r="F40" s="6">
        <v>13.9</v>
      </c>
      <c r="G40" s="6">
        <v>78</v>
      </c>
      <c r="H40" s="10">
        <v>20</v>
      </c>
      <c r="I40" s="10">
        <v>6.7</v>
      </c>
      <c r="J40" s="10">
        <v>13.3</v>
      </c>
      <c r="K40" s="10">
        <v>54</v>
      </c>
      <c r="L40" s="3">
        <f>+(Tabla1[[#This Row],[Tmax media (°C)]]-Tabla1[[#This Row],[Tmax media (°C) historica]])/Tabla1[[#This Row],[Tmax media (°C) historica]]*100</f>
        <v>-3.8461538461538494</v>
      </c>
      <c r="M40" s="3">
        <f>+(Tabla1[[#This Row],[Tmin media (°C)]]-Tabla1[[#This Row],[Tmin media (°C) historica]])/Tabla1[[#This Row],[Tmin media (°C) historica]]*100</f>
        <v>-12.987012987012985</v>
      </c>
      <c r="N40" s="3">
        <f>+(Tabla1[[#This Row],[Tmedia media (°C)]]-Tabla1[[#This Row],[Tmedia media (°C) historica]])/Tabla1[[#This Row],[Tmedia media (°C) historica]]*100</f>
        <v>-4.3165467625899252</v>
      </c>
      <c r="O40" s="3">
        <f>+(Tabla1[[#This Row],[Prec acum (mm)]]-Tabla1[[#This Row],[Prec acum (mm) historica]])/Tabla1[[#This Row],[Prec acum (mm) historica]]*100</f>
        <v>-30.76923076923077</v>
      </c>
    </row>
    <row r="41" spans="1:15" hidden="1" x14ac:dyDescent="0.25">
      <c r="A41">
        <v>1994</v>
      </c>
      <c r="B41" t="s">
        <v>2</v>
      </c>
      <c r="C41" t="s">
        <v>25</v>
      </c>
      <c r="D41" s="6">
        <v>20.8</v>
      </c>
      <c r="E41" s="6">
        <v>7.7</v>
      </c>
      <c r="F41" s="6">
        <v>13.9</v>
      </c>
      <c r="G41" s="6">
        <v>78</v>
      </c>
      <c r="H41" s="10">
        <v>18.899999999999999</v>
      </c>
      <c r="I41" s="10">
        <v>7.6</v>
      </c>
      <c r="J41" s="10">
        <v>13.3</v>
      </c>
      <c r="K41" s="10">
        <v>129</v>
      </c>
      <c r="L41" s="4">
        <f>+(Tabla1[[#This Row],[Tmax media (°C)]]-Tabla1[[#This Row],[Tmax media (°C) historica]])/Tabla1[[#This Row],[Tmax media (°C) historica]]*100</f>
        <v>-9.1346153846153957</v>
      </c>
      <c r="M41" s="4">
        <f>+(Tabla1[[#This Row],[Tmin media (°C)]]-Tabla1[[#This Row],[Tmin media (°C) historica]])/Tabla1[[#This Row],[Tmin media (°C) historica]]*100</f>
        <v>-1.2987012987013056</v>
      </c>
      <c r="N41" s="4">
        <f>+(Tabla1[[#This Row],[Tmedia media (°C)]]-Tabla1[[#This Row],[Tmedia media (°C) historica]])/Tabla1[[#This Row],[Tmedia media (°C) historica]]*100</f>
        <v>-4.3165467625899252</v>
      </c>
      <c r="O41" s="4">
        <f>+(Tabla1[[#This Row],[Prec acum (mm)]]-Tabla1[[#This Row],[Prec acum (mm) historica]])/Tabla1[[#This Row],[Prec acum (mm) historica]]*100</f>
        <v>65.384615384615387</v>
      </c>
    </row>
    <row r="42" spans="1:15" hidden="1" x14ac:dyDescent="0.25">
      <c r="A42">
        <v>1997</v>
      </c>
      <c r="B42" t="s">
        <v>2</v>
      </c>
      <c r="C42" t="s">
        <v>25</v>
      </c>
      <c r="D42" s="6">
        <v>20.8</v>
      </c>
      <c r="E42" s="6">
        <v>7.7</v>
      </c>
      <c r="F42" s="6">
        <v>13.9</v>
      </c>
      <c r="G42" s="6">
        <v>78</v>
      </c>
      <c r="H42" s="10">
        <v>19.399999999999999</v>
      </c>
      <c r="I42" s="10">
        <v>7.9</v>
      </c>
      <c r="J42" s="10">
        <v>13.6</v>
      </c>
      <c r="K42" s="10">
        <v>231</v>
      </c>
      <c r="L42" s="3">
        <f>+(Tabla1[[#This Row],[Tmax media (°C)]]-Tabla1[[#This Row],[Tmax media (°C) historica]])/Tabla1[[#This Row],[Tmax media (°C) historica]]*100</f>
        <v>-6.7307692307692406</v>
      </c>
      <c r="M42" s="3">
        <f>+(Tabla1[[#This Row],[Tmin media (°C)]]-Tabla1[[#This Row],[Tmin media (°C) historica]])/Tabla1[[#This Row],[Tmin media (°C) historica]]*100</f>
        <v>2.5974025974025996</v>
      </c>
      <c r="N42" s="3">
        <f>+(Tabla1[[#This Row],[Tmedia media (°C)]]-Tabla1[[#This Row],[Tmedia media (°C) historica]])/Tabla1[[#This Row],[Tmedia media (°C) historica]]*100</f>
        <v>-2.1582733812949688</v>
      </c>
      <c r="O42" s="3">
        <f>+(Tabla1[[#This Row],[Prec acum (mm)]]-Tabla1[[#This Row],[Prec acum (mm) historica]])/Tabla1[[#This Row],[Prec acum (mm) historica]]*100</f>
        <v>196.15384615384613</v>
      </c>
    </row>
    <row r="43" spans="1:15" hidden="1" x14ac:dyDescent="0.25">
      <c r="A43">
        <v>2002</v>
      </c>
      <c r="B43" t="s">
        <v>2</v>
      </c>
      <c r="C43" t="s">
        <v>25</v>
      </c>
      <c r="D43" s="6">
        <v>20.8</v>
      </c>
      <c r="E43" s="6">
        <v>7.7</v>
      </c>
      <c r="F43" s="6">
        <v>13.9</v>
      </c>
      <c r="G43" s="6">
        <v>78</v>
      </c>
      <c r="H43" s="10">
        <v>21</v>
      </c>
      <c r="I43" s="10">
        <v>9.6</v>
      </c>
      <c r="J43" s="10">
        <v>15.3</v>
      </c>
      <c r="K43" s="10">
        <v>164</v>
      </c>
      <c r="L43" s="4">
        <f>+(Tabla1[[#This Row],[Tmax media (°C)]]-Tabla1[[#This Row],[Tmax media (°C) historica]])/Tabla1[[#This Row],[Tmax media (°C) historica]]*100</f>
        <v>0.96153846153845812</v>
      </c>
      <c r="M43" s="4">
        <f>+(Tabla1[[#This Row],[Tmin media (°C)]]-Tabla1[[#This Row],[Tmin media (°C) historica]])/Tabla1[[#This Row],[Tmin media (°C) historica]]*100</f>
        <v>24.675324675324667</v>
      </c>
      <c r="N43" s="4">
        <f>+(Tabla1[[#This Row],[Tmedia media (°C)]]-Tabla1[[#This Row],[Tmedia media (°C) historica]])/Tabla1[[#This Row],[Tmedia media (°C) historica]]*100</f>
        <v>10.071942446043169</v>
      </c>
      <c r="O43" s="4">
        <f>+(Tabla1[[#This Row],[Prec acum (mm)]]-Tabla1[[#This Row],[Prec acum (mm) historica]])/Tabla1[[#This Row],[Prec acum (mm) historica]]*100</f>
        <v>110.25641025641026</v>
      </c>
    </row>
    <row r="44" spans="1:15" hidden="1" x14ac:dyDescent="0.25">
      <c r="A44">
        <v>2004</v>
      </c>
      <c r="B44" t="s">
        <v>2</v>
      </c>
      <c r="C44" t="s">
        <v>25</v>
      </c>
      <c r="D44" s="6">
        <v>20.8</v>
      </c>
      <c r="E44" s="6">
        <v>7.7</v>
      </c>
      <c r="F44" s="6">
        <v>13.9</v>
      </c>
      <c r="G44" s="6">
        <v>78</v>
      </c>
      <c r="H44" s="10">
        <v>20.5</v>
      </c>
      <c r="I44" s="10">
        <v>6.4</v>
      </c>
      <c r="J44" s="10">
        <v>13.5</v>
      </c>
      <c r="K44" s="10">
        <v>66</v>
      </c>
      <c r="L44" s="3">
        <f>+(Tabla1[[#This Row],[Tmax media (°C)]]-Tabla1[[#This Row],[Tmax media (°C) historica]])/Tabla1[[#This Row],[Tmax media (°C) historica]]*100</f>
        <v>-1.4423076923076956</v>
      </c>
      <c r="M44" s="3">
        <f>+(Tabla1[[#This Row],[Tmin media (°C)]]-Tabla1[[#This Row],[Tmin media (°C) historica]])/Tabla1[[#This Row],[Tmin media (°C) historica]]*100</f>
        <v>-16.88311688311688</v>
      </c>
      <c r="N44" s="3">
        <f>+(Tabla1[[#This Row],[Tmedia media (°C)]]-Tabla1[[#This Row],[Tmedia media (°C) historica]])/Tabla1[[#This Row],[Tmedia media (°C) historica]]*100</f>
        <v>-2.8776978417266212</v>
      </c>
      <c r="O44" s="3">
        <f>+(Tabla1[[#This Row],[Prec acum (mm)]]-Tabla1[[#This Row],[Prec acum (mm) historica]])/Tabla1[[#This Row],[Prec acum (mm) historica]]*100</f>
        <v>-15.384615384615385</v>
      </c>
    </row>
    <row r="45" spans="1:15" hidden="1" x14ac:dyDescent="0.25">
      <c r="A45">
        <v>2015</v>
      </c>
      <c r="B45" t="s">
        <v>2</v>
      </c>
      <c r="C45" t="s">
        <v>25</v>
      </c>
      <c r="D45" s="6">
        <v>20.8</v>
      </c>
      <c r="E45" s="6">
        <v>7.7</v>
      </c>
      <c r="F45" s="6">
        <v>13.9</v>
      </c>
      <c r="G45" s="6">
        <v>78</v>
      </c>
      <c r="H45" s="10">
        <v>17.600000000000001</v>
      </c>
      <c r="I45" s="10">
        <v>5.2</v>
      </c>
      <c r="J45" s="10">
        <v>11.4</v>
      </c>
      <c r="K45" s="10">
        <v>90</v>
      </c>
      <c r="L45" s="4">
        <f>+(Tabla1[[#This Row],[Tmax media (°C)]]-Tabla1[[#This Row],[Tmax media (°C) historica]])/Tabla1[[#This Row],[Tmax media (°C) historica]]*100</f>
        <v>-15.38461538461538</v>
      </c>
      <c r="M45" s="4">
        <f>+(Tabla1[[#This Row],[Tmin media (°C)]]-Tabla1[[#This Row],[Tmin media (°C) historica]])/Tabla1[[#This Row],[Tmin media (°C) historica]]*100</f>
        <v>-32.467532467532465</v>
      </c>
      <c r="N45" s="4">
        <f>+(Tabla1[[#This Row],[Tmedia media (°C)]]-Tabla1[[#This Row],[Tmedia media (°C) historica]])/Tabla1[[#This Row],[Tmedia media (°C) historica]]*100</f>
        <v>-17.985611510791365</v>
      </c>
      <c r="O45" s="4">
        <f>+(Tabla1[[#This Row],[Prec acum (mm)]]-Tabla1[[#This Row],[Prec acum (mm) historica]])/Tabla1[[#This Row],[Prec acum (mm) historica]]*100</f>
        <v>15.384615384615385</v>
      </c>
    </row>
    <row r="46" spans="1:15" hidden="1" x14ac:dyDescent="0.25">
      <c r="A46">
        <v>2023</v>
      </c>
      <c r="B46" t="s">
        <v>2</v>
      </c>
      <c r="C46" t="s">
        <v>25</v>
      </c>
      <c r="D46" s="6">
        <v>20.8</v>
      </c>
      <c r="E46" s="6">
        <v>7.7</v>
      </c>
      <c r="F46" s="6">
        <v>13.9</v>
      </c>
      <c r="G46" s="6">
        <v>78</v>
      </c>
      <c r="H46" s="10">
        <v>21.5</v>
      </c>
      <c r="I46" s="10">
        <v>6.6</v>
      </c>
      <c r="J46" s="10">
        <v>14.1</v>
      </c>
      <c r="K46" s="10">
        <v>84</v>
      </c>
      <c r="L46" s="3">
        <f>+(Tabla1[[#This Row],[Tmax media (°C)]]-Tabla1[[#This Row],[Tmax media (°C) historica]])/Tabla1[[#This Row],[Tmax media (°C) historica]]*100</f>
        <v>3.3653846153846119</v>
      </c>
      <c r="M46" s="3">
        <f>+(Tabla1[[#This Row],[Tmin media (°C)]]-Tabla1[[#This Row],[Tmin media (°C) historica]])/Tabla1[[#This Row],[Tmin media (°C) historica]]*100</f>
        <v>-14.285714285714294</v>
      </c>
      <c r="N46" s="3">
        <f>+(Tabla1[[#This Row],[Tmedia media (°C)]]-Tabla1[[#This Row],[Tmedia media (°C) historica]])/Tabla1[[#This Row],[Tmedia media (°C) historica]]*100</f>
        <v>1.4388489208633042</v>
      </c>
      <c r="O46" s="3">
        <f>+(Tabla1[[#This Row],[Prec acum (mm)]]-Tabla1[[#This Row],[Prec acum (mm) historica]])/Tabla1[[#This Row],[Prec acum (mm) historica]]*100</f>
        <v>7.6923076923076925</v>
      </c>
    </row>
    <row r="47" spans="1:15" hidden="1" x14ac:dyDescent="0.25">
      <c r="A47">
        <v>1982</v>
      </c>
      <c r="B47" t="s">
        <v>2</v>
      </c>
      <c r="C47" t="s">
        <v>26</v>
      </c>
      <c r="D47" s="6">
        <v>23.5</v>
      </c>
      <c r="E47" s="6">
        <v>10.1</v>
      </c>
      <c r="F47" s="6">
        <v>17.100000000000001</v>
      </c>
      <c r="G47" s="6">
        <v>96</v>
      </c>
      <c r="H47" s="10">
        <v>21.9</v>
      </c>
      <c r="I47" s="10">
        <v>9.4</v>
      </c>
      <c r="J47" s="10">
        <v>15.7</v>
      </c>
      <c r="K47" s="10">
        <v>78</v>
      </c>
      <c r="L47" s="3">
        <f>+(Tabla1[[#This Row],[Tmax media (°C)]]-Tabla1[[#This Row],[Tmax media (°C) historica]])/Tabla1[[#This Row],[Tmax media (°C) historica]]*100</f>
        <v>-6.8085106382978777</v>
      </c>
      <c r="M47" s="3">
        <f>+(Tabla1[[#This Row],[Tmin media (°C)]]-Tabla1[[#This Row],[Tmin media (°C) historica]])/Tabla1[[#This Row],[Tmin media (°C) historica]]*100</f>
        <v>-6.9306930693069244</v>
      </c>
      <c r="N47" s="3">
        <f>+(Tabla1[[#This Row],[Tmedia media (°C)]]-Tabla1[[#This Row],[Tmedia media (°C) historica]])/Tabla1[[#This Row],[Tmedia media (°C) historica]]*100</f>
        <v>-8.187134502923989</v>
      </c>
      <c r="O47" s="3">
        <f>+(Tabla1[[#This Row],[Prec acum (mm)]]-Tabla1[[#This Row],[Prec acum (mm) historica]])/Tabla1[[#This Row],[Prec acum (mm) historica]]*100</f>
        <v>-18.75</v>
      </c>
    </row>
    <row r="48" spans="1:15" hidden="1" x14ac:dyDescent="0.25">
      <c r="A48">
        <v>1987</v>
      </c>
      <c r="B48" t="s">
        <v>2</v>
      </c>
      <c r="C48" t="s">
        <v>26</v>
      </c>
      <c r="D48" s="6">
        <v>23.5</v>
      </c>
      <c r="E48" s="6">
        <v>10.1</v>
      </c>
      <c r="F48" s="6">
        <v>17.100000000000001</v>
      </c>
      <c r="G48" s="6">
        <v>96</v>
      </c>
      <c r="H48" s="10">
        <v>23</v>
      </c>
      <c r="I48" s="10">
        <v>11.8</v>
      </c>
      <c r="J48" s="10">
        <v>17.399999999999999</v>
      </c>
      <c r="K48" s="10">
        <v>120</v>
      </c>
      <c r="L48" s="4">
        <f>+(Tabla1[[#This Row],[Tmax media (°C)]]-Tabla1[[#This Row],[Tmax media (°C) historica]])/Tabla1[[#This Row],[Tmax media (°C) historica]]*100</f>
        <v>-2.1276595744680851</v>
      </c>
      <c r="M48" s="4">
        <f>+(Tabla1[[#This Row],[Tmin media (°C)]]-Tabla1[[#This Row],[Tmin media (°C) historica]])/Tabla1[[#This Row],[Tmin media (°C) historica]]*100</f>
        <v>16.831683168316843</v>
      </c>
      <c r="N48" s="4">
        <f>+(Tabla1[[#This Row],[Tmedia media (°C)]]-Tabla1[[#This Row],[Tmedia media (°C) historica]])/Tabla1[[#This Row],[Tmedia media (°C) historica]]*100</f>
        <v>1.754385964912264</v>
      </c>
      <c r="O48" s="4">
        <f>+(Tabla1[[#This Row],[Prec acum (mm)]]-Tabla1[[#This Row],[Prec acum (mm) historica]])/Tabla1[[#This Row],[Prec acum (mm) historica]]*100</f>
        <v>25</v>
      </c>
    </row>
    <row r="49" spans="1:15" hidden="1" x14ac:dyDescent="0.25">
      <c r="A49">
        <v>1991</v>
      </c>
      <c r="B49" t="s">
        <v>2</v>
      </c>
      <c r="C49" t="s">
        <v>26</v>
      </c>
      <c r="D49" s="6">
        <v>24.2</v>
      </c>
      <c r="E49" s="6">
        <v>10.3</v>
      </c>
      <c r="F49" s="6">
        <v>17.100000000000001</v>
      </c>
      <c r="G49" s="6">
        <v>96</v>
      </c>
      <c r="H49" s="10">
        <v>23.5</v>
      </c>
      <c r="I49" s="10">
        <v>10.6</v>
      </c>
      <c r="J49" s="10">
        <v>17.100000000000001</v>
      </c>
      <c r="K49" s="10">
        <v>100</v>
      </c>
      <c r="L49" s="3">
        <f>+(Tabla1[[#This Row],[Tmax media (°C)]]-Tabla1[[#This Row],[Tmax media (°C) historica]])/Tabla1[[#This Row],[Tmax media (°C) historica]]*100</f>
        <v>-2.8925619834710719</v>
      </c>
      <c r="M49" s="3">
        <f>+(Tabla1[[#This Row],[Tmin media (°C)]]-Tabla1[[#This Row],[Tmin media (°C) historica]])/Tabla1[[#This Row],[Tmin media (°C) historica]]*100</f>
        <v>2.9126213592232904</v>
      </c>
      <c r="N49" s="3">
        <f>+(Tabla1[[#This Row],[Tmedia media (°C)]]-Tabla1[[#This Row],[Tmedia media (°C) historica]])/Tabla1[[#This Row],[Tmedia media (°C) historica]]*100</f>
        <v>0</v>
      </c>
      <c r="O49" s="3">
        <f>+(Tabla1[[#This Row],[Prec acum (mm)]]-Tabla1[[#This Row],[Prec acum (mm) historica]])/Tabla1[[#This Row],[Prec acum (mm) historica]]*100</f>
        <v>4.1666666666666661</v>
      </c>
    </row>
    <row r="50" spans="1:15" hidden="1" x14ac:dyDescent="0.25">
      <c r="A50">
        <v>1994</v>
      </c>
      <c r="B50" t="s">
        <v>2</v>
      </c>
      <c r="C50" t="s">
        <v>26</v>
      </c>
      <c r="D50" s="6">
        <v>24.2</v>
      </c>
      <c r="E50" s="6">
        <v>10.3</v>
      </c>
      <c r="F50" s="6">
        <v>17.100000000000001</v>
      </c>
      <c r="G50" s="6">
        <v>96</v>
      </c>
      <c r="H50" s="10">
        <v>25.5</v>
      </c>
      <c r="I50" s="10">
        <v>11.6</v>
      </c>
      <c r="J50" s="10">
        <v>18.5</v>
      </c>
      <c r="K50" s="10">
        <v>105</v>
      </c>
      <c r="L50" s="4">
        <f>+(Tabla1[[#This Row],[Tmax media (°C)]]-Tabla1[[#This Row],[Tmax media (°C) historica]])/Tabla1[[#This Row],[Tmax media (°C) historica]]*100</f>
        <v>5.371900826446284</v>
      </c>
      <c r="M50" s="4">
        <f>+(Tabla1[[#This Row],[Tmin media (°C)]]-Tabla1[[#This Row],[Tmin media (°C) historica]])/Tabla1[[#This Row],[Tmin media (°C) historica]]*100</f>
        <v>12.62135922330096</v>
      </c>
      <c r="N50" s="4">
        <f>+(Tabla1[[#This Row],[Tmedia media (°C)]]-Tabla1[[#This Row],[Tmedia media (°C) historica]])/Tabla1[[#This Row],[Tmedia media (°C) historica]]*100</f>
        <v>8.1871345029239677</v>
      </c>
      <c r="O50" s="4">
        <f>+(Tabla1[[#This Row],[Prec acum (mm)]]-Tabla1[[#This Row],[Prec acum (mm) historica]])/Tabla1[[#This Row],[Prec acum (mm) historica]]*100</f>
        <v>9.375</v>
      </c>
    </row>
    <row r="51" spans="1:15" hidden="1" x14ac:dyDescent="0.25">
      <c r="A51">
        <v>1997</v>
      </c>
      <c r="B51" t="s">
        <v>2</v>
      </c>
      <c r="C51" t="s">
        <v>26</v>
      </c>
      <c r="D51" s="6">
        <v>24.2</v>
      </c>
      <c r="E51" s="6">
        <v>10.3</v>
      </c>
      <c r="F51" s="6">
        <v>17.100000000000001</v>
      </c>
      <c r="G51" s="6">
        <v>96</v>
      </c>
      <c r="H51" s="10">
        <v>22.6</v>
      </c>
      <c r="I51" s="10">
        <v>10.1</v>
      </c>
      <c r="J51" s="10">
        <v>16.3</v>
      </c>
      <c r="K51" s="10">
        <v>80</v>
      </c>
      <c r="L51" s="3">
        <f>+(Tabla1[[#This Row],[Tmax media (°C)]]-Tabla1[[#This Row],[Tmax media (°C) historica]])/Tabla1[[#This Row],[Tmax media (°C) historica]]*100</f>
        <v>-6.6115702479338765</v>
      </c>
      <c r="M51" s="3">
        <f>+(Tabla1[[#This Row],[Tmin media (°C)]]-Tabla1[[#This Row],[Tmin media (°C) historica]])/Tabla1[[#This Row],[Tmin media (°C) historica]]*100</f>
        <v>-1.9417475728155442</v>
      </c>
      <c r="N51" s="3">
        <f>+(Tabla1[[#This Row],[Tmedia media (°C)]]-Tabla1[[#This Row],[Tmedia media (°C) historica]])/Tabla1[[#This Row],[Tmedia media (°C) historica]]*100</f>
        <v>-4.6783625730994194</v>
      </c>
      <c r="O51" s="3">
        <f>+(Tabla1[[#This Row],[Prec acum (mm)]]-Tabla1[[#This Row],[Prec acum (mm) historica]])/Tabla1[[#This Row],[Prec acum (mm) historica]]*100</f>
        <v>-16.666666666666664</v>
      </c>
    </row>
    <row r="52" spans="1:15" hidden="1" x14ac:dyDescent="0.25">
      <c r="A52">
        <v>2002</v>
      </c>
      <c r="B52" t="s">
        <v>2</v>
      </c>
      <c r="C52" t="s">
        <v>26</v>
      </c>
      <c r="D52" s="6">
        <v>24.2</v>
      </c>
      <c r="E52" s="6">
        <v>10.3</v>
      </c>
      <c r="F52" s="6">
        <v>17.100000000000001</v>
      </c>
      <c r="G52" s="6">
        <v>96</v>
      </c>
      <c r="H52" s="10">
        <v>23</v>
      </c>
      <c r="I52" s="10">
        <v>11.8</v>
      </c>
      <c r="J52" s="10">
        <v>17.399999999999999</v>
      </c>
      <c r="K52" s="10">
        <v>183</v>
      </c>
      <c r="L52" s="4">
        <f>+(Tabla1[[#This Row],[Tmax media (°C)]]-Tabla1[[#This Row],[Tmax media (°C) historica]])/Tabla1[[#This Row],[Tmax media (°C) historica]]*100</f>
        <v>-4.9586776859504109</v>
      </c>
      <c r="M52" s="4">
        <f>+(Tabla1[[#This Row],[Tmin media (°C)]]-Tabla1[[#This Row],[Tmin media (°C) historica]])/Tabla1[[#This Row],[Tmin media (°C) historica]]*100</f>
        <v>14.563106796116504</v>
      </c>
      <c r="N52" s="4">
        <f>+(Tabla1[[#This Row],[Tmedia media (°C)]]-Tabla1[[#This Row],[Tmedia media (°C) historica]])/Tabla1[[#This Row],[Tmedia media (°C) historica]]*100</f>
        <v>1.754385964912264</v>
      </c>
      <c r="O52" s="4">
        <f>+(Tabla1[[#This Row],[Prec acum (mm)]]-Tabla1[[#This Row],[Prec acum (mm) historica]])/Tabla1[[#This Row],[Prec acum (mm) historica]]*100</f>
        <v>90.625</v>
      </c>
    </row>
    <row r="53" spans="1:15" hidden="1" x14ac:dyDescent="0.25">
      <c r="A53">
        <v>2004</v>
      </c>
      <c r="B53" t="s">
        <v>2</v>
      </c>
      <c r="C53" t="s">
        <v>26</v>
      </c>
      <c r="D53" s="6">
        <v>24.2</v>
      </c>
      <c r="E53" s="6">
        <v>10.3</v>
      </c>
      <c r="F53" s="6">
        <v>17.100000000000001</v>
      </c>
      <c r="G53" s="6">
        <v>96</v>
      </c>
      <c r="H53" s="10">
        <v>22.7</v>
      </c>
      <c r="I53" s="10">
        <v>10.6</v>
      </c>
      <c r="J53" s="10">
        <v>16.600000000000001</v>
      </c>
      <c r="K53" s="10">
        <v>111</v>
      </c>
      <c r="L53" s="3">
        <f>+(Tabla1[[#This Row],[Tmax media (°C)]]-Tabla1[[#This Row],[Tmax media (°C) historica]])/Tabla1[[#This Row],[Tmax media (°C) historica]]*100</f>
        <v>-6.1983471074380168</v>
      </c>
      <c r="M53" s="3">
        <f>+(Tabla1[[#This Row],[Tmin media (°C)]]-Tabla1[[#This Row],[Tmin media (°C) historica]])/Tabla1[[#This Row],[Tmin media (°C) historica]]*100</f>
        <v>2.9126213592232904</v>
      </c>
      <c r="N53" s="3">
        <f>+(Tabla1[[#This Row],[Tmedia media (°C)]]-Tabla1[[#This Row],[Tmedia media (°C) historica]])/Tabla1[[#This Row],[Tmedia media (°C) historica]]*100</f>
        <v>-2.9239766081871341</v>
      </c>
      <c r="O53" s="3">
        <f>+(Tabla1[[#This Row],[Prec acum (mm)]]-Tabla1[[#This Row],[Prec acum (mm) historica]])/Tabla1[[#This Row],[Prec acum (mm) historica]]*100</f>
        <v>15.625</v>
      </c>
    </row>
    <row r="54" spans="1:15" hidden="1" x14ac:dyDescent="0.25">
      <c r="A54">
        <v>2015</v>
      </c>
      <c r="B54" t="s">
        <v>2</v>
      </c>
      <c r="C54" t="s">
        <v>26</v>
      </c>
      <c r="D54" s="6">
        <v>24.2</v>
      </c>
      <c r="E54" s="6">
        <v>10.3</v>
      </c>
      <c r="F54" s="6">
        <v>17.100000000000001</v>
      </c>
      <c r="G54" s="6">
        <v>96</v>
      </c>
      <c r="H54" s="10">
        <v>24.1</v>
      </c>
      <c r="I54" s="10">
        <v>9.3000000000000007</v>
      </c>
      <c r="J54" s="10">
        <v>16.7</v>
      </c>
      <c r="K54" s="10">
        <v>76</v>
      </c>
      <c r="L54" s="4">
        <f>+(Tabla1[[#This Row],[Tmax media (°C)]]-Tabla1[[#This Row],[Tmax media (°C) historica]])/Tabla1[[#This Row],[Tmax media (°C) historica]]*100</f>
        <v>-0.41322314049585895</v>
      </c>
      <c r="M54" s="4">
        <f>+(Tabla1[[#This Row],[Tmin media (°C)]]-Tabla1[[#This Row],[Tmin media (°C) historica]])/Tabla1[[#This Row],[Tmin media (°C) historica]]*100</f>
        <v>-9.7087378640776691</v>
      </c>
      <c r="N54" s="4">
        <f>+(Tabla1[[#This Row],[Tmedia media (°C)]]-Tabla1[[#This Row],[Tmedia media (°C) historica]])/Tabla1[[#This Row],[Tmedia media (°C) historica]]*100</f>
        <v>-2.3391812865497199</v>
      </c>
      <c r="O54" s="4">
        <f>+(Tabla1[[#This Row],[Prec acum (mm)]]-Tabla1[[#This Row],[Prec acum (mm) historica]])/Tabla1[[#This Row],[Prec acum (mm) historica]]*100</f>
        <v>-20.833333333333336</v>
      </c>
    </row>
    <row r="55" spans="1:15" hidden="1" x14ac:dyDescent="0.25">
      <c r="A55">
        <v>2023</v>
      </c>
      <c r="B55" t="s">
        <v>2</v>
      </c>
      <c r="C55" t="s">
        <v>26</v>
      </c>
      <c r="D55" s="6">
        <v>24.2</v>
      </c>
      <c r="E55" s="6">
        <v>10.3</v>
      </c>
      <c r="F55" s="6">
        <v>17.100000000000001</v>
      </c>
      <c r="G55" s="6">
        <v>96</v>
      </c>
      <c r="H55" s="10">
        <v>24.3</v>
      </c>
      <c r="I55" s="10">
        <v>9.1</v>
      </c>
      <c r="J55" s="10">
        <v>16.7</v>
      </c>
      <c r="K55" s="10">
        <v>154</v>
      </c>
      <c r="L55" s="3">
        <f>+(Tabla1[[#This Row],[Tmax media (°C)]]-Tabla1[[#This Row],[Tmax media (°C) historica]])/Tabla1[[#This Row],[Tmax media (°C) historica]]*100</f>
        <v>0.41322314049587366</v>
      </c>
      <c r="M55" s="3">
        <f>+(Tabla1[[#This Row],[Tmin media (°C)]]-Tabla1[[#This Row],[Tmin media (°C) historica]])/Tabla1[[#This Row],[Tmin media (°C) historica]]*100</f>
        <v>-11.650485436893215</v>
      </c>
      <c r="N55" s="3">
        <f>+(Tabla1[[#This Row],[Tmedia media (°C)]]-Tabla1[[#This Row],[Tmedia media (°C) historica]])/Tabla1[[#This Row],[Tmedia media (°C) historica]]*100</f>
        <v>-2.3391812865497199</v>
      </c>
      <c r="O55" s="3">
        <f>+(Tabla1[[#This Row],[Prec acum (mm)]]-Tabla1[[#This Row],[Prec acum (mm) historica]])/Tabla1[[#This Row],[Prec acum (mm) historica]]*100</f>
        <v>60.416666666666664</v>
      </c>
    </row>
    <row r="56" spans="1:15" hidden="1" x14ac:dyDescent="0.25">
      <c r="A56">
        <v>1982</v>
      </c>
      <c r="B56" t="s">
        <v>2</v>
      </c>
      <c r="C56" t="s">
        <v>27</v>
      </c>
      <c r="D56" s="6">
        <v>27.3</v>
      </c>
      <c r="E56" s="6">
        <v>12.7</v>
      </c>
      <c r="F56" s="6">
        <v>19.899999999999999</v>
      </c>
      <c r="G56" s="6">
        <v>83</v>
      </c>
      <c r="H56" s="10">
        <v>29.3</v>
      </c>
      <c r="I56" s="10">
        <v>13.3</v>
      </c>
      <c r="J56" s="10">
        <v>21.3</v>
      </c>
      <c r="K56" s="10">
        <v>52</v>
      </c>
      <c r="L56" s="3">
        <f>+(Tabla1[[#This Row],[Tmax media (°C)]]-Tabla1[[#This Row],[Tmax media (°C) historica]])/Tabla1[[#This Row],[Tmax media (°C) historica]]*100</f>
        <v>7.3260073260073266</v>
      </c>
      <c r="M56" s="3">
        <f>+(Tabla1[[#This Row],[Tmin media (°C)]]-Tabla1[[#This Row],[Tmin media (°C) historica]])/Tabla1[[#This Row],[Tmin media (°C) historica]]*100</f>
        <v>4.7244094488189097</v>
      </c>
      <c r="N56" s="3">
        <f>+(Tabla1[[#This Row],[Tmedia media (°C)]]-Tabla1[[#This Row],[Tmedia media (°C) historica]])/Tabla1[[#This Row],[Tmedia media (°C) historica]]*100</f>
        <v>7.0351758793969958</v>
      </c>
      <c r="O56" s="3">
        <f>+(Tabla1[[#This Row],[Prec acum (mm)]]-Tabla1[[#This Row],[Prec acum (mm) historica]])/Tabla1[[#This Row],[Prec acum (mm) historica]]*100</f>
        <v>-37.349397590361441</v>
      </c>
    </row>
    <row r="57" spans="1:15" hidden="1" x14ac:dyDescent="0.25">
      <c r="A57">
        <v>1987</v>
      </c>
      <c r="B57" t="s">
        <v>2</v>
      </c>
      <c r="C57" t="s">
        <v>27</v>
      </c>
      <c r="D57" s="6">
        <v>27.3</v>
      </c>
      <c r="E57" s="6">
        <v>12.7</v>
      </c>
      <c r="F57" s="6">
        <v>19.899999999999999</v>
      </c>
      <c r="G57" s="6">
        <v>83</v>
      </c>
      <c r="H57" s="10">
        <v>25.4</v>
      </c>
      <c r="I57" s="10">
        <v>11.4</v>
      </c>
      <c r="J57" s="10">
        <v>18.399999999999999</v>
      </c>
      <c r="K57" s="10">
        <v>111</v>
      </c>
      <c r="L57" s="4">
        <f>+(Tabla1[[#This Row],[Tmax media (°C)]]-Tabla1[[#This Row],[Tmax media (°C) historica]])/Tabla1[[#This Row],[Tmax media (°C) historica]]*100</f>
        <v>-6.959706959706967</v>
      </c>
      <c r="M57" s="4">
        <f>+(Tabla1[[#This Row],[Tmin media (°C)]]-Tabla1[[#This Row],[Tmin media (°C) historica]])/Tabla1[[#This Row],[Tmin media (°C) historica]]*100</f>
        <v>-10.236220472440936</v>
      </c>
      <c r="N57" s="4">
        <f>+(Tabla1[[#This Row],[Tmedia media (°C)]]-Tabla1[[#This Row],[Tmedia media (°C) historica]])/Tabla1[[#This Row],[Tmedia media (°C) historica]]*100</f>
        <v>-7.5376884422110564</v>
      </c>
      <c r="O57" s="4">
        <f>+(Tabla1[[#This Row],[Prec acum (mm)]]-Tabla1[[#This Row],[Prec acum (mm) historica]])/Tabla1[[#This Row],[Prec acum (mm) historica]]*100</f>
        <v>33.734939759036145</v>
      </c>
    </row>
    <row r="58" spans="1:15" hidden="1" x14ac:dyDescent="0.25">
      <c r="A58">
        <v>1991</v>
      </c>
      <c r="B58" t="s">
        <v>2</v>
      </c>
      <c r="C58" t="s">
        <v>27</v>
      </c>
      <c r="D58" s="6">
        <v>27.9</v>
      </c>
      <c r="E58" s="6">
        <v>12.5</v>
      </c>
      <c r="F58" s="6">
        <v>20.100000000000001</v>
      </c>
      <c r="G58" s="6">
        <v>70</v>
      </c>
      <c r="H58" s="10">
        <v>25.5</v>
      </c>
      <c r="I58" s="10">
        <v>13</v>
      </c>
      <c r="J58" s="10">
        <v>19.2</v>
      </c>
      <c r="K58" s="10">
        <v>156</v>
      </c>
      <c r="L58" s="3">
        <f>+(Tabla1[[#This Row],[Tmax media (°C)]]-Tabla1[[#This Row],[Tmax media (°C) historica]])/Tabla1[[#This Row],[Tmax media (°C) historica]]*100</f>
        <v>-8.6021505376344045</v>
      </c>
      <c r="M58" s="3">
        <f>+(Tabla1[[#This Row],[Tmin media (°C)]]-Tabla1[[#This Row],[Tmin media (°C) historica]])/Tabla1[[#This Row],[Tmin media (°C) historica]]*100</f>
        <v>4</v>
      </c>
      <c r="N58" s="3">
        <f>+(Tabla1[[#This Row],[Tmedia media (°C)]]-Tabla1[[#This Row],[Tmedia media (°C) historica]])/Tabla1[[#This Row],[Tmedia media (°C) historica]]*100</f>
        <v>-4.4776119402985177</v>
      </c>
      <c r="O58" s="3">
        <f>+(Tabla1[[#This Row],[Prec acum (mm)]]-Tabla1[[#This Row],[Prec acum (mm) historica]])/Tabla1[[#This Row],[Prec acum (mm) historica]]*100</f>
        <v>122.85714285714286</v>
      </c>
    </row>
    <row r="59" spans="1:15" hidden="1" x14ac:dyDescent="0.25">
      <c r="A59">
        <v>1994</v>
      </c>
      <c r="B59" t="s">
        <v>2</v>
      </c>
      <c r="C59" t="s">
        <v>27</v>
      </c>
      <c r="D59" s="6">
        <v>27.9</v>
      </c>
      <c r="E59" s="6">
        <v>12.5</v>
      </c>
      <c r="F59" s="6">
        <v>20.100000000000001</v>
      </c>
      <c r="G59" s="6">
        <v>70</v>
      </c>
      <c r="H59" s="10">
        <v>28.8</v>
      </c>
      <c r="I59" s="10">
        <v>14.6</v>
      </c>
      <c r="J59" s="10">
        <v>21.7</v>
      </c>
      <c r="K59" s="10">
        <v>123</v>
      </c>
      <c r="L59" s="4">
        <f>+(Tabla1[[#This Row],[Tmax media (°C)]]-Tabla1[[#This Row],[Tmax media (°C) historica]])/Tabla1[[#This Row],[Tmax media (°C) historica]]*100</f>
        <v>3.2258064516129106</v>
      </c>
      <c r="M59" s="4">
        <f>+(Tabla1[[#This Row],[Tmin media (°C)]]-Tabla1[[#This Row],[Tmin media (°C) historica]])/Tabla1[[#This Row],[Tmin media (°C) historica]]*100</f>
        <v>16.799999999999997</v>
      </c>
      <c r="N59" s="4">
        <f>+(Tabla1[[#This Row],[Tmedia media (°C)]]-Tabla1[[#This Row],[Tmedia media (°C) historica]])/Tabla1[[#This Row],[Tmedia media (°C) historica]]*100</f>
        <v>7.960199004975113</v>
      </c>
      <c r="O59" s="4">
        <f>+(Tabla1[[#This Row],[Prec acum (mm)]]-Tabla1[[#This Row],[Prec acum (mm) historica]])/Tabla1[[#This Row],[Prec acum (mm) historica]]*100</f>
        <v>75.714285714285708</v>
      </c>
    </row>
    <row r="60" spans="1:15" hidden="1" x14ac:dyDescent="0.25">
      <c r="A60">
        <v>1997</v>
      </c>
      <c r="B60" t="s">
        <v>2</v>
      </c>
      <c r="C60" t="s">
        <v>27</v>
      </c>
      <c r="D60" s="6">
        <v>27.9</v>
      </c>
      <c r="E60" s="6">
        <v>12.5</v>
      </c>
      <c r="F60" s="6">
        <v>20.100000000000001</v>
      </c>
      <c r="G60" s="6">
        <v>70</v>
      </c>
      <c r="H60" s="10">
        <v>24.9</v>
      </c>
      <c r="I60" s="10">
        <v>11.3</v>
      </c>
      <c r="J60" s="10">
        <v>18.100000000000001</v>
      </c>
      <c r="K60" s="10">
        <v>101</v>
      </c>
      <c r="L60" s="3">
        <f>+(Tabla1[[#This Row],[Tmax media (°C)]]-Tabla1[[#This Row],[Tmax media (°C) historica]])/Tabla1[[#This Row],[Tmax media (°C) historica]]*100</f>
        <v>-10.75268817204301</v>
      </c>
      <c r="M60" s="3">
        <f>+(Tabla1[[#This Row],[Tmin media (°C)]]-Tabla1[[#This Row],[Tmin media (°C) historica]])/Tabla1[[#This Row],[Tmin media (°C) historica]]*100</f>
        <v>-9.5999999999999943</v>
      </c>
      <c r="N60" s="3">
        <f>+(Tabla1[[#This Row],[Tmedia media (°C)]]-Tabla1[[#This Row],[Tmedia media (°C) historica]])/Tabla1[[#This Row],[Tmedia media (°C) historica]]*100</f>
        <v>-9.9502487562189046</v>
      </c>
      <c r="O60" s="3">
        <f>+(Tabla1[[#This Row],[Prec acum (mm)]]-Tabla1[[#This Row],[Prec acum (mm) historica]])/Tabla1[[#This Row],[Prec acum (mm) historica]]*100</f>
        <v>44.285714285714285</v>
      </c>
    </row>
    <row r="61" spans="1:15" hidden="1" x14ac:dyDescent="0.25">
      <c r="A61">
        <v>2002</v>
      </c>
      <c r="B61" t="s">
        <v>2</v>
      </c>
      <c r="C61" t="s">
        <v>27</v>
      </c>
      <c r="D61" s="6">
        <v>27.9</v>
      </c>
      <c r="E61" s="6">
        <v>12.5</v>
      </c>
      <c r="F61" s="6">
        <v>20.100000000000001</v>
      </c>
      <c r="G61" s="6">
        <v>70</v>
      </c>
      <c r="H61" s="10">
        <v>26.4</v>
      </c>
      <c r="I61" s="10">
        <v>13.4</v>
      </c>
      <c r="J61" s="10">
        <v>19.899999999999999</v>
      </c>
      <c r="K61" s="10">
        <v>79</v>
      </c>
      <c r="L61" s="4">
        <f>+(Tabla1[[#This Row],[Tmax media (°C)]]-Tabla1[[#This Row],[Tmax media (°C) historica]])/Tabla1[[#This Row],[Tmax media (°C) historica]]*100</f>
        <v>-5.376344086021505</v>
      </c>
      <c r="M61" s="4">
        <f>+(Tabla1[[#This Row],[Tmin media (°C)]]-Tabla1[[#This Row],[Tmin media (°C) historica]])/Tabla1[[#This Row],[Tmin media (°C) historica]]*100</f>
        <v>7.200000000000002</v>
      </c>
      <c r="N61" s="4">
        <f>+(Tabla1[[#This Row],[Tmedia media (°C)]]-Tabla1[[#This Row],[Tmedia media (°C) historica]])/Tabla1[[#This Row],[Tmedia media (°C) historica]]*100</f>
        <v>-0.99502487562190456</v>
      </c>
      <c r="O61" s="4">
        <f>+(Tabla1[[#This Row],[Prec acum (mm)]]-Tabla1[[#This Row],[Prec acum (mm) historica]])/Tabla1[[#This Row],[Prec acum (mm) historica]]*100</f>
        <v>12.857142857142856</v>
      </c>
    </row>
    <row r="62" spans="1:15" hidden="1" x14ac:dyDescent="0.25">
      <c r="A62">
        <v>2004</v>
      </c>
      <c r="B62" t="s">
        <v>2</v>
      </c>
      <c r="C62" t="s">
        <v>27</v>
      </c>
      <c r="D62" s="6">
        <v>27.9</v>
      </c>
      <c r="E62" s="6">
        <v>12.5</v>
      </c>
      <c r="F62" s="6">
        <v>20.100000000000001</v>
      </c>
      <c r="G62" s="6">
        <v>70</v>
      </c>
      <c r="H62" s="10">
        <v>26.9</v>
      </c>
      <c r="I62" s="10">
        <v>13.4</v>
      </c>
      <c r="J62" s="10">
        <v>20.2</v>
      </c>
      <c r="K62" s="10">
        <v>108</v>
      </c>
      <c r="L62" s="3">
        <f>+(Tabla1[[#This Row],[Tmax media (°C)]]-Tabla1[[#This Row],[Tmax media (°C) historica]])/Tabla1[[#This Row],[Tmax media (°C) historica]]*100</f>
        <v>-3.5842293906810041</v>
      </c>
      <c r="M62" s="3">
        <f>+(Tabla1[[#This Row],[Tmin media (°C)]]-Tabla1[[#This Row],[Tmin media (°C) historica]])/Tabla1[[#This Row],[Tmin media (°C) historica]]*100</f>
        <v>7.200000000000002</v>
      </c>
      <c r="N62" s="3">
        <f>+(Tabla1[[#This Row],[Tmedia media (°C)]]-Tabla1[[#This Row],[Tmedia media (°C) historica]])/Tabla1[[#This Row],[Tmedia media (°C) historica]]*100</f>
        <v>0.49751243781093457</v>
      </c>
      <c r="O62" s="3">
        <f>+(Tabla1[[#This Row],[Prec acum (mm)]]-Tabla1[[#This Row],[Prec acum (mm) historica]])/Tabla1[[#This Row],[Prec acum (mm) historica]]*100</f>
        <v>54.285714285714285</v>
      </c>
    </row>
    <row r="63" spans="1:15" hidden="1" x14ac:dyDescent="0.25">
      <c r="A63">
        <v>2015</v>
      </c>
      <c r="B63" t="s">
        <v>2</v>
      </c>
      <c r="C63" t="s">
        <v>27</v>
      </c>
      <c r="D63" s="6">
        <v>27.9</v>
      </c>
      <c r="E63" s="6">
        <v>12.5</v>
      </c>
      <c r="F63" s="6">
        <v>20.100000000000001</v>
      </c>
      <c r="G63" s="6">
        <v>70</v>
      </c>
      <c r="H63" s="10">
        <v>29</v>
      </c>
      <c r="I63" s="10">
        <v>13.3</v>
      </c>
      <c r="J63" s="10">
        <v>21.2</v>
      </c>
      <c r="K63" s="10">
        <v>36</v>
      </c>
      <c r="L63" s="4">
        <f>+(Tabla1[[#This Row],[Tmax media (°C)]]-Tabla1[[#This Row],[Tmax media (°C) historica]])/Tabla1[[#This Row],[Tmax media (°C) historica]]*100</f>
        <v>3.9426523297491092</v>
      </c>
      <c r="M63" s="4">
        <f>+(Tabla1[[#This Row],[Tmin media (°C)]]-Tabla1[[#This Row],[Tmin media (°C) historica]])/Tabla1[[#This Row],[Tmin media (°C) historica]]*100</f>
        <v>6.4000000000000057</v>
      </c>
      <c r="N63" s="4">
        <f>+(Tabla1[[#This Row],[Tmedia media (°C)]]-Tabla1[[#This Row],[Tmedia media (°C) historica]])/Tabla1[[#This Row],[Tmedia media (°C) historica]]*100</f>
        <v>5.4726368159203869</v>
      </c>
      <c r="O63" s="4">
        <f>+(Tabla1[[#This Row],[Prec acum (mm)]]-Tabla1[[#This Row],[Prec acum (mm) historica]])/Tabla1[[#This Row],[Prec acum (mm) historica]]*100</f>
        <v>-48.571428571428569</v>
      </c>
    </row>
    <row r="64" spans="1:15" hidden="1" x14ac:dyDescent="0.25">
      <c r="A64">
        <v>2023</v>
      </c>
      <c r="B64" t="s">
        <v>2</v>
      </c>
      <c r="C64" t="s">
        <v>27</v>
      </c>
      <c r="D64" s="6">
        <v>27.9</v>
      </c>
      <c r="E64" s="6">
        <v>12.5</v>
      </c>
      <c r="F64" s="6">
        <v>20.100000000000001</v>
      </c>
      <c r="G64" s="6">
        <v>70</v>
      </c>
      <c r="H64" s="10">
        <v>25.9</v>
      </c>
      <c r="I64" s="10">
        <v>13.4</v>
      </c>
      <c r="J64" s="10">
        <v>19.7</v>
      </c>
      <c r="K64" s="10">
        <v>274</v>
      </c>
      <c r="L64" s="3">
        <f>+(Tabla1[[#This Row],[Tmax media (°C)]]-Tabla1[[#This Row],[Tmax media (°C) historica]])/Tabla1[[#This Row],[Tmax media (°C) historica]]*100</f>
        <v>-7.1684587813620082</v>
      </c>
      <c r="M64" s="3">
        <f>+(Tabla1[[#This Row],[Tmin media (°C)]]-Tabla1[[#This Row],[Tmin media (°C) historica]])/Tabla1[[#This Row],[Tmin media (°C) historica]]*100</f>
        <v>7.200000000000002</v>
      </c>
      <c r="N64" s="3">
        <f>+(Tabla1[[#This Row],[Tmedia media (°C)]]-Tabla1[[#This Row],[Tmedia media (°C) historica]])/Tabla1[[#This Row],[Tmedia media (°C) historica]]*100</f>
        <v>-1.9900497512437916</v>
      </c>
      <c r="O64" s="3">
        <f>+(Tabla1[[#This Row],[Prec acum (mm)]]-Tabla1[[#This Row],[Prec acum (mm) historica]])/Tabla1[[#This Row],[Prec acum (mm) historica]]*100</f>
        <v>291.42857142857139</v>
      </c>
    </row>
    <row r="65" spans="1:15" hidden="1" x14ac:dyDescent="0.25">
      <c r="A65">
        <v>1982</v>
      </c>
      <c r="B65" t="s">
        <v>2</v>
      </c>
      <c r="C65" t="s">
        <v>28</v>
      </c>
      <c r="D65" s="6">
        <v>28.8</v>
      </c>
      <c r="E65" s="6">
        <v>14.2</v>
      </c>
      <c r="F65" s="6">
        <v>21.7</v>
      </c>
      <c r="G65" s="6">
        <v>126</v>
      </c>
      <c r="H65" s="10">
        <v>31.3</v>
      </c>
      <c r="I65" s="10">
        <v>16.2</v>
      </c>
      <c r="J65" s="10">
        <v>23.8</v>
      </c>
      <c r="K65" s="10">
        <v>70</v>
      </c>
      <c r="L65" s="3">
        <f>+(Tabla1[[#This Row],[Tmax media (°C)]]-Tabla1[[#This Row],[Tmax media (°C) historica]])/Tabla1[[#This Row],[Tmax media (°C) historica]]*100</f>
        <v>8.6805555555555554</v>
      </c>
      <c r="M65" s="3">
        <f>+(Tabla1[[#This Row],[Tmin media (°C)]]-Tabla1[[#This Row],[Tmin media (°C) historica]])/Tabla1[[#This Row],[Tmin media (°C) historica]]*100</f>
        <v>14.084507042253522</v>
      </c>
      <c r="N65" s="3">
        <f>+(Tabla1[[#This Row],[Tmedia media (°C)]]-Tabla1[[#This Row],[Tmedia media (°C) historica]])/Tabla1[[#This Row],[Tmedia media (°C) historica]]*100</f>
        <v>9.6774193548387171</v>
      </c>
      <c r="O65" s="3">
        <f>+(Tabla1[[#This Row],[Prec acum (mm)]]-Tabla1[[#This Row],[Prec acum (mm) historica]])/Tabla1[[#This Row],[Prec acum (mm) historica]]*100</f>
        <v>-44.444444444444443</v>
      </c>
    </row>
    <row r="66" spans="1:15" hidden="1" x14ac:dyDescent="0.25">
      <c r="A66">
        <v>1987</v>
      </c>
      <c r="B66" t="s">
        <v>2</v>
      </c>
      <c r="C66" t="s">
        <v>28</v>
      </c>
      <c r="D66" s="6">
        <v>28.8</v>
      </c>
      <c r="E66" s="6">
        <v>14.2</v>
      </c>
      <c r="F66" s="6">
        <v>21.7</v>
      </c>
      <c r="G66" s="6">
        <v>126</v>
      </c>
      <c r="H66" s="10">
        <v>28.1</v>
      </c>
      <c r="I66" s="10">
        <v>13.5</v>
      </c>
      <c r="J66" s="10">
        <v>20.8</v>
      </c>
      <c r="K66" s="10">
        <v>205</v>
      </c>
      <c r="L66" s="4">
        <f>+(Tabla1[[#This Row],[Tmax media (°C)]]-Tabla1[[#This Row],[Tmax media (°C) historica]])/Tabla1[[#This Row],[Tmax media (°C) historica]]*100</f>
        <v>-2.4305555555555531</v>
      </c>
      <c r="M66" s="4">
        <f>+(Tabla1[[#This Row],[Tmin media (°C)]]-Tabla1[[#This Row],[Tmin media (°C) historica]])/Tabla1[[#This Row],[Tmin media (°C) historica]]*100</f>
        <v>-4.9295774647887276</v>
      </c>
      <c r="N66" s="4">
        <f>+(Tabla1[[#This Row],[Tmedia media (°C)]]-Tabla1[[#This Row],[Tmedia media (°C) historica]])/Tabla1[[#This Row],[Tmedia media (°C) historica]]*100</f>
        <v>-4.1474654377880125</v>
      </c>
      <c r="O66" s="4">
        <f>+(Tabla1[[#This Row],[Prec acum (mm)]]-Tabla1[[#This Row],[Prec acum (mm) historica]])/Tabla1[[#This Row],[Prec acum (mm) historica]]*100</f>
        <v>62.698412698412696</v>
      </c>
    </row>
    <row r="67" spans="1:15" hidden="1" x14ac:dyDescent="0.25">
      <c r="A67">
        <v>1991</v>
      </c>
      <c r="B67" t="s">
        <v>2</v>
      </c>
      <c r="C67" t="s">
        <v>28</v>
      </c>
      <c r="D67" s="6">
        <v>29.1</v>
      </c>
      <c r="E67" s="6">
        <v>14.1</v>
      </c>
      <c r="F67" s="6">
        <v>21.8</v>
      </c>
      <c r="G67" s="6">
        <v>102</v>
      </c>
      <c r="H67" s="10">
        <v>27.7</v>
      </c>
      <c r="I67" s="10">
        <v>14.8</v>
      </c>
      <c r="J67" s="10">
        <v>21.2</v>
      </c>
      <c r="K67" s="10">
        <v>143</v>
      </c>
      <c r="L67" s="3">
        <f>+(Tabla1[[#This Row],[Tmax media (°C)]]-Tabla1[[#This Row],[Tmax media (°C) historica]])/Tabla1[[#This Row],[Tmax media (°C) historica]]*100</f>
        <v>-4.8109965635738901</v>
      </c>
      <c r="M67" s="3">
        <f>+(Tabla1[[#This Row],[Tmin media (°C)]]-Tabla1[[#This Row],[Tmin media (°C) historica]])/Tabla1[[#This Row],[Tmin media (°C) historica]]*100</f>
        <v>4.9645390070922062</v>
      </c>
      <c r="N67" s="3">
        <f>+(Tabla1[[#This Row],[Tmedia media (°C)]]-Tabla1[[#This Row],[Tmedia media (°C) historica]])/Tabla1[[#This Row],[Tmedia media (°C) historica]]*100</f>
        <v>-2.752293577981658</v>
      </c>
      <c r="O67" s="3">
        <f>+(Tabla1[[#This Row],[Prec acum (mm)]]-Tabla1[[#This Row],[Prec acum (mm) historica]])/Tabla1[[#This Row],[Prec acum (mm) historica]]*100</f>
        <v>40.196078431372548</v>
      </c>
    </row>
    <row r="68" spans="1:15" hidden="1" x14ac:dyDescent="0.25">
      <c r="A68">
        <v>1994</v>
      </c>
      <c r="B68" t="s">
        <v>2</v>
      </c>
      <c r="C68" t="s">
        <v>28</v>
      </c>
      <c r="D68" s="6">
        <v>29.1</v>
      </c>
      <c r="E68" s="6">
        <v>14.1</v>
      </c>
      <c r="F68" s="6">
        <v>21.8</v>
      </c>
      <c r="G68" s="6">
        <v>102</v>
      </c>
      <c r="H68" s="10">
        <v>28.6</v>
      </c>
      <c r="I68" s="10">
        <v>11.7</v>
      </c>
      <c r="J68" s="10">
        <v>20.2</v>
      </c>
      <c r="K68" s="10">
        <v>63</v>
      </c>
      <c r="L68" s="4">
        <f>+(Tabla1[[#This Row],[Tmax media (°C)]]-Tabla1[[#This Row],[Tmax media (°C) historica]])/Tabla1[[#This Row],[Tmax media (°C) historica]]*100</f>
        <v>-1.7182130584192439</v>
      </c>
      <c r="M68" s="4">
        <f>+(Tabla1[[#This Row],[Tmin media (°C)]]-Tabla1[[#This Row],[Tmin media (°C) historica]])/Tabla1[[#This Row],[Tmin media (°C) historica]]*100</f>
        <v>-17.021276595744684</v>
      </c>
      <c r="N68" s="4">
        <f>+(Tabla1[[#This Row],[Tmedia media (°C)]]-Tabla1[[#This Row],[Tmedia media (°C) historica]])/Tabla1[[#This Row],[Tmedia media (°C) historica]]*100</f>
        <v>-7.3394495412844094</v>
      </c>
      <c r="O68" s="4">
        <f>+(Tabla1[[#This Row],[Prec acum (mm)]]-Tabla1[[#This Row],[Prec acum (mm) historica]])/Tabla1[[#This Row],[Prec acum (mm) historica]]*100</f>
        <v>-38.235294117647058</v>
      </c>
    </row>
    <row r="69" spans="1:15" hidden="1" x14ac:dyDescent="0.25">
      <c r="A69">
        <v>1997</v>
      </c>
      <c r="B69" t="s">
        <v>2</v>
      </c>
      <c r="C69" t="s">
        <v>28</v>
      </c>
      <c r="D69" s="6">
        <v>29.1</v>
      </c>
      <c r="E69" s="6">
        <v>14.1</v>
      </c>
      <c r="F69" s="6">
        <v>21.8</v>
      </c>
      <c r="G69" s="6">
        <v>102</v>
      </c>
      <c r="H69" s="10">
        <v>26.9</v>
      </c>
      <c r="I69" s="10">
        <v>13.1</v>
      </c>
      <c r="J69" s="10">
        <v>20</v>
      </c>
      <c r="K69" s="10">
        <v>186</v>
      </c>
      <c r="L69" s="3">
        <f>+(Tabla1[[#This Row],[Tmax media (°C)]]-Tabla1[[#This Row],[Tmax media (°C) historica]])/Tabla1[[#This Row],[Tmax media (°C) historica]]*100</f>
        <v>-7.5601374570446831</v>
      </c>
      <c r="M69" s="3">
        <f>+(Tabla1[[#This Row],[Tmin media (°C)]]-Tabla1[[#This Row],[Tmin media (°C) historica]])/Tabla1[[#This Row],[Tmin media (°C) historica]]*100</f>
        <v>-7.0921985815602842</v>
      </c>
      <c r="N69" s="3">
        <f>+(Tabla1[[#This Row],[Tmedia media (°C)]]-Tabla1[[#This Row],[Tmedia media (°C) historica]])/Tabla1[[#This Row],[Tmedia media (°C) historica]]*100</f>
        <v>-8.256880733944957</v>
      </c>
      <c r="O69" s="3">
        <f>+(Tabla1[[#This Row],[Prec acum (mm)]]-Tabla1[[#This Row],[Prec acum (mm) historica]])/Tabla1[[#This Row],[Prec acum (mm) historica]]*100</f>
        <v>82.35294117647058</v>
      </c>
    </row>
    <row r="70" spans="1:15" hidden="1" x14ac:dyDescent="0.25">
      <c r="A70">
        <v>2002</v>
      </c>
      <c r="B70" t="s">
        <v>2</v>
      </c>
      <c r="C70" t="s">
        <v>28</v>
      </c>
      <c r="D70" s="6">
        <v>29.1</v>
      </c>
      <c r="E70" s="6">
        <v>14.1</v>
      </c>
      <c r="F70" s="6">
        <v>21.8</v>
      </c>
      <c r="G70" s="6">
        <v>102</v>
      </c>
      <c r="H70" s="10">
        <v>30.2</v>
      </c>
      <c r="I70" s="10">
        <v>13.9</v>
      </c>
      <c r="J70" s="10">
        <v>22</v>
      </c>
      <c r="K70" s="10">
        <v>54</v>
      </c>
      <c r="L70" s="4">
        <f>+(Tabla1[[#This Row],[Tmax media (°C)]]-Tabla1[[#This Row],[Tmax media (°C) historica]])/Tabla1[[#This Row],[Tmax media (°C) historica]]*100</f>
        <v>3.7800687285223296</v>
      </c>
      <c r="M70" s="4">
        <f>+(Tabla1[[#This Row],[Tmin media (°C)]]-Tabla1[[#This Row],[Tmin media (°C) historica]])/Tabla1[[#This Row],[Tmin media (°C) historica]]*100</f>
        <v>-1.4184397163120517</v>
      </c>
      <c r="N70" s="4">
        <f>+(Tabla1[[#This Row],[Tmedia media (°C)]]-Tabla1[[#This Row],[Tmedia media (°C) historica]])/Tabla1[[#This Row],[Tmedia media (°C) historica]]*100</f>
        <v>0.91743119266054718</v>
      </c>
      <c r="O70" s="4">
        <f>+(Tabla1[[#This Row],[Prec acum (mm)]]-Tabla1[[#This Row],[Prec acum (mm) historica]])/Tabla1[[#This Row],[Prec acum (mm) historica]]*100</f>
        <v>-47.058823529411761</v>
      </c>
    </row>
    <row r="71" spans="1:15" hidden="1" x14ac:dyDescent="0.25">
      <c r="A71">
        <v>2004</v>
      </c>
      <c r="B71" t="s">
        <v>2</v>
      </c>
      <c r="C71" t="s">
        <v>28</v>
      </c>
      <c r="D71" s="6">
        <v>29.1</v>
      </c>
      <c r="E71" s="6">
        <v>14.1</v>
      </c>
      <c r="F71" s="6">
        <v>21.8</v>
      </c>
      <c r="G71" s="6">
        <v>102</v>
      </c>
      <c r="H71" s="10">
        <v>29</v>
      </c>
      <c r="I71" s="10">
        <v>13.1</v>
      </c>
      <c r="J71" s="10">
        <v>21</v>
      </c>
      <c r="K71" s="10">
        <v>54</v>
      </c>
      <c r="L71" s="3">
        <f>+(Tabla1[[#This Row],[Tmax media (°C)]]-Tabla1[[#This Row],[Tmax media (°C) historica]])/Tabla1[[#This Row],[Tmax media (°C) historica]]*100</f>
        <v>-0.34364261168385363</v>
      </c>
      <c r="M71" s="3">
        <f>+(Tabla1[[#This Row],[Tmin media (°C)]]-Tabla1[[#This Row],[Tmin media (°C) historica]])/Tabla1[[#This Row],[Tmin media (°C) historica]]*100</f>
        <v>-7.0921985815602842</v>
      </c>
      <c r="N71" s="3">
        <f>+(Tabla1[[#This Row],[Tmedia media (°C)]]-Tabla1[[#This Row],[Tmedia media (°C) historica]])/Tabla1[[#This Row],[Tmedia media (°C) historica]]*100</f>
        <v>-3.6697247706422047</v>
      </c>
      <c r="O71" s="3">
        <f>+(Tabla1[[#This Row],[Prec acum (mm)]]-Tabla1[[#This Row],[Prec acum (mm) historica]])/Tabla1[[#This Row],[Prec acum (mm) historica]]*100</f>
        <v>-47.058823529411761</v>
      </c>
    </row>
    <row r="72" spans="1:15" hidden="1" x14ac:dyDescent="0.25">
      <c r="A72">
        <v>2015</v>
      </c>
      <c r="B72" t="s">
        <v>2</v>
      </c>
      <c r="C72" t="s">
        <v>28</v>
      </c>
      <c r="D72" s="6">
        <v>29.1</v>
      </c>
      <c r="E72" s="6">
        <v>14.1</v>
      </c>
      <c r="F72" s="6">
        <v>21.8</v>
      </c>
      <c r="G72" s="6">
        <v>102</v>
      </c>
      <c r="H72" s="10">
        <v>29.5</v>
      </c>
      <c r="I72" s="10">
        <v>14.9</v>
      </c>
      <c r="J72" s="10">
        <v>22.2</v>
      </c>
      <c r="K72" s="10">
        <v>60</v>
      </c>
      <c r="L72" s="4">
        <f>+(Tabla1[[#This Row],[Tmax media (°C)]]-Tabla1[[#This Row],[Tmax media (°C) historica]])/Tabla1[[#This Row],[Tmax media (°C) historica]]*100</f>
        <v>1.3745704467353903</v>
      </c>
      <c r="M72" s="4">
        <f>+(Tabla1[[#This Row],[Tmin media (°C)]]-Tabla1[[#This Row],[Tmin media (°C) historica]])/Tabla1[[#This Row],[Tmin media (°C) historica]]*100</f>
        <v>5.6737588652482325</v>
      </c>
      <c r="N72" s="4">
        <f>+(Tabla1[[#This Row],[Tmedia media (°C)]]-Tabla1[[#This Row],[Tmedia media (°C) historica]])/Tabla1[[#This Row],[Tmedia media (°C) historica]]*100</f>
        <v>1.8348623853210944</v>
      </c>
      <c r="O72" s="4">
        <f>+(Tabla1[[#This Row],[Prec acum (mm)]]-Tabla1[[#This Row],[Prec acum (mm) historica]])/Tabla1[[#This Row],[Prec acum (mm) historica]]*100</f>
        <v>-41.17647058823529</v>
      </c>
    </row>
    <row r="73" spans="1:15" hidden="1" x14ac:dyDescent="0.25">
      <c r="A73">
        <v>2023</v>
      </c>
      <c r="B73" t="s">
        <v>2</v>
      </c>
      <c r="C73" t="s">
        <v>28</v>
      </c>
      <c r="D73" s="6">
        <v>29.1</v>
      </c>
      <c r="E73" s="6">
        <v>14.1</v>
      </c>
      <c r="F73" s="6">
        <v>21.8</v>
      </c>
      <c r="G73" s="6">
        <v>102</v>
      </c>
      <c r="H73" s="10">
        <v>30</v>
      </c>
      <c r="I73" s="10">
        <v>14.6</v>
      </c>
      <c r="J73" s="10">
        <v>22.3</v>
      </c>
      <c r="K73" s="10">
        <v>39</v>
      </c>
      <c r="L73" s="3">
        <f>+(Tabla1[[#This Row],[Tmax media (°C)]]-Tabla1[[#This Row],[Tmax media (°C) historica]])/Tabla1[[#This Row],[Tmax media (°C) historica]]*100</f>
        <v>3.092783505154634</v>
      </c>
      <c r="M73" s="3">
        <f>+(Tabla1[[#This Row],[Tmin media (°C)]]-Tabla1[[#This Row],[Tmin media (°C) historica]])/Tabla1[[#This Row],[Tmin media (°C) historica]]*100</f>
        <v>3.5460992907801421</v>
      </c>
      <c r="N73" s="3">
        <f>+(Tabla1[[#This Row],[Tmedia media (°C)]]-Tabla1[[#This Row],[Tmedia media (°C) historica]])/Tabla1[[#This Row],[Tmedia media (°C) historica]]*100</f>
        <v>2.2935779816513757</v>
      </c>
      <c r="O73" s="3">
        <f>+(Tabla1[[#This Row],[Prec acum (mm)]]-Tabla1[[#This Row],[Prec acum (mm) historica]])/Tabla1[[#This Row],[Prec acum (mm) historica]]*100</f>
        <v>-61.764705882352942</v>
      </c>
    </row>
    <row r="74" spans="1:15" hidden="1" x14ac:dyDescent="0.25">
      <c r="A74">
        <v>1982</v>
      </c>
      <c r="B74" t="s">
        <v>2</v>
      </c>
      <c r="C74" t="s">
        <v>29</v>
      </c>
      <c r="D74" s="6">
        <v>27.7</v>
      </c>
      <c r="E74" s="6">
        <v>13.5</v>
      </c>
      <c r="F74" s="6">
        <v>20.5</v>
      </c>
      <c r="G74" s="6">
        <v>83</v>
      </c>
      <c r="H74" s="10">
        <v>28.9</v>
      </c>
      <c r="I74" s="10">
        <v>12.4</v>
      </c>
      <c r="J74" s="10">
        <v>20.7</v>
      </c>
      <c r="K74" s="10">
        <v>55</v>
      </c>
      <c r="L74" s="3">
        <f>+(Tabla1[[#This Row],[Tmax media (°C)]]-Tabla1[[#This Row],[Tmax media (°C) historica]])/Tabla1[[#This Row],[Tmax media (°C) historica]]*100</f>
        <v>4.3321299638989146</v>
      </c>
      <c r="M74" s="3">
        <f>+(Tabla1[[#This Row],[Tmin media (°C)]]-Tabla1[[#This Row],[Tmin media (°C) historica]])/Tabla1[[#This Row],[Tmin media (°C) historica]]*100</f>
        <v>-8.1481481481481453</v>
      </c>
      <c r="N74" s="3">
        <f>+(Tabla1[[#This Row],[Tmedia media (°C)]]-Tabla1[[#This Row],[Tmedia media (°C) historica]])/Tabla1[[#This Row],[Tmedia media (°C) historica]]*100</f>
        <v>0.97560975609755751</v>
      </c>
      <c r="O74" s="3">
        <f>+(Tabla1[[#This Row],[Prec acum (mm)]]-Tabla1[[#This Row],[Prec acum (mm) historica]])/Tabla1[[#This Row],[Prec acum (mm) historica]]*100</f>
        <v>-33.734939759036145</v>
      </c>
    </row>
    <row r="75" spans="1:15" hidden="1" x14ac:dyDescent="0.25">
      <c r="A75">
        <v>1987</v>
      </c>
      <c r="B75" t="s">
        <v>2</v>
      </c>
      <c r="C75" t="s">
        <v>29</v>
      </c>
      <c r="D75" s="6">
        <v>27.7</v>
      </c>
      <c r="E75" s="6">
        <v>13.5</v>
      </c>
      <c r="F75" s="6">
        <v>20.5</v>
      </c>
      <c r="G75" s="6">
        <v>83</v>
      </c>
      <c r="H75" s="10">
        <v>27.2</v>
      </c>
      <c r="I75" s="10">
        <v>13.8</v>
      </c>
      <c r="J75" s="10">
        <v>20.5</v>
      </c>
      <c r="K75" s="10">
        <v>107</v>
      </c>
      <c r="L75" s="4">
        <f>+(Tabla1[[#This Row],[Tmax media (°C)]]-Tabla1[[#This Row],[Tmax media (°C) historica]])/Tabla1[[#This Row],[Tmax media (°C) historica]]*100</f>
        <v>-1.8050541516245486</v>
      </c>
      <c r="M75" s="4">
        <f>+(Tabla1[[#This Row],[Tmin media (°C)]]-Tabla1[[#This Row],[Tmin media (°C) historica]])/Tabla1[[#This Row],[Tmin media (°C) historica]]*100</f>
        <v>2.2222222222222276</v>
      </c>
      <c r="N75" s="4">
        <f>+(Tabla1[[#This Row],[Tmedia media (°C)]]-Tabla1[[#This Row],[Tmedia media (°C) historica]])/Tabla1[[#This Row],[Tmedia media (°C) historica]]*100</f>
        <v>0</v>
      </c>
      <c r="O75" s="4">
        <f>+(Tabla1[[#This Row],[Prec acum (mm)]]-Tabla1[[#This Row],[Prec acum (mm) historica]])/Tabla1[[#This Row],[Prec acum (mm) historica]]*100</f>
        <v>28.915662650602407</v>
      </c>
    </row>
    <row r="76" spans="1:15" hidden="1" x14ac:dyDescent="0.25">
      <c r="A76">
        <v>1991</v>
      </c>
      <c r="B76" t="s">
        <v>2</v>
      </c>
      <c r="C76" t="s">
        <v>29</v>
      </c>
      <c r="D76" s="6">
        <v>27.9</v>
      </c>
      <c r="E76" s="6">
        <v>13.2</v>
      </c>
      <c r="F76" s="6">
        <v>20.399999999999999</v>
      </c>
      <c r="G76" s="6">
        <v>86</v>
      </c>
      <c r="H76" s="10">
        <v>27.9</v>
      </c>
      <c r="I76" s="10">
        <v>14.5</v>
      </c>
      <c r="J76" s="10">
        <v>21.2</v>
      </c>
      <c r="K76" s="10">
        <v>207</v>
      </c>
      <c r="L76" s="3">
        <f>+(Tabla1[[#This Row],[Tmax media (°C)]]-Tabla1[[#This Row],[Tmax media (°C) historica]])/Tabla1[[#This Row],[Tmax media (°C) historica]]*100</f>
        <v>0</v>
      </c>
      <c r="M76" s="3">
        <f>+(Tabla1[[#This Row],[Tmin media (°C)]]-Tabla1[[#This Row],[Tmin media (°C) historica]])/Tabla1[[#This Row],[Tmin media (°C) historica]]*100</f>
        <v>9.8484848484848548</v>
      </c>
      <c r="N76" s="3">
        <f>+(Tabla1[[#This Row],[Tmedia media (°C)]]-Tabla1[[#This Row],[Tmedia media (°C) historica]])/Tabla1[[#This Row],[Tmedia media (°C) historica]]*100</f>
        <v>3.9215686274509838</v>
      </c>
      <c r="O76" s="3">
        <f>+(Tabla1[[#This Row],[Prec acum (mm)]]-Tabla1[[#This Row],[Prec acum (mm) historica]])/Tabla1[[#This Row],[Prec acum (mm) historica]]*100</f>
        <v>140.69767441860466</v>
      </c>
    </row>
    <row r="77" spans="1:15" hidden="1" x14ac:dyDescent="0.25">
      <c r="A77">
        <v>1994</v>
      </c>
      <c r="B77" t="s">
        <v>2</v>
      </c>
      <c r="C77" t="s">
        <v>29</v>
      </c>
      <c r="D77" s="6">
        <v>27.9</v>
      </c>
      <c r="E77" s="6">
        <v>13.2</v>
      </c>
      <c r="F77" s="6">
        <v>20.399999999999999</v>
      </c>
      <c r="G77" s="6">
        <v>86</v>
      </c>
      <c r="H77" s="10">
        <v>27.3</v>
      </c>
      <c r="I77" s="10">
        <v>12.4</v>
      </c>
      <c r="J77" s="10">
        <v>19.8</v>
      </c>
      <c r="K77" s="10">
        <v>77</v>
      </c>
      <c r="L77" s="4">
        <f>+(Tabla1[[#This Row],[Tmax media (°C)]]-Tabla1[[#This Row],[Tmax media (°C) historica]])/Tabla1[[#This Row],[Tmax media (°C) historica]]*100</f>
        <v>-2.1505376344085949</v>
      </c>
      <c r="M77" s="4">
        <f>+(Tabla1[[#This Row],[Tmin media (°C)]]-Tabla1[[#This Row],[Tmin media (°C) historica]])/Tabla1[[#This Row],[Tmin media (°C) historica]]*100</f>
        <v>-6.0606060606060534</v>
      </c>
      <c r="N77" s="4">
        <f>+(Tabla1[[#This Row],[Tmedia media (°C)]]-Tabla1[[#This Row],[Tmedia media (°C) historica]])/Tabla1[[#This Row],[Tmedia media (°C) historica]]*100</f>
        <v>-2.9411764705882253</v>
      </c>
      <c r="O77" s="4">
        <f>+(Tabla1[[#This Row],[Prec acum (mm)]]-Tabla1[[#This Row],[Prec acum (mm) historica]])/Tabla1[[#This Row],[Prec acum (mm) historica]]*100</f>
        <v>-10.465116279069768</v>
      </c>
    </row>
    <row r="78" spans="1:15" hidden="1" x14ac:dyDescent="0.25">
      <c r="A78">
        <v>1997</v>
      </c>
      <c r="B78" t="s">
        <v>2</v>
      </c>
      <c r="C78" t="s">
        <v>29</v>
      </c>
      <c r="D78" s="6">
        <v>27.9</v>
      </c>
      <c r="E78" s="6">
        <v>13.2</v>
      </c>
      <c r="F78" s="6">
        <v>20.399999999999999</v>
      </c>
      <c r="G78" s="6">
        <v>86</v>
      </c>
      <c r="H78" s="10">
        <v>24.2</v>
      </c>
      <c r="I78" s="10">
        <v>12.4</v>
      </c>
      <c r="J78" s="10">
        <v>18.3</v>
      </c>
      <c r="K78" s="10">
        <v>79</v>
      </c>
      <c r="L78" s="3">
        <f>+(Tabla1[[#This Row],[Tmax media (°C)]]-Tabla1[[#This Row],[Tmax media (°C) historica]])/Tabla1[[#This Row],[Tmax media (°C) historica]]*100</f>
        <v>-13.261648745519711</v>
      </c>
      <c r="M78" s="3">
        <f>+(Tabla1[[#This Row],[Tmin media (°C)]]-Tabla1[[#This Row],[Tmin media (°C) historica]])/Tabla1[[#This Row],[Tmin media (°C) historica]]*100</f>
        <v>-6.0606060606060534</v>
      </c>
      <c r="N78" s="3">
        <f>+(Tabla1[[#This Row],[Tmedia media (°C)]]-Tabla1[[#This Row],[Tmedia media (°C) historica]])/Tabla1[[#This Row],[Tmedia media (°C) historica]]*100</f>
        <v>-10.294117647058814</v>
      </c>
      <c r="O78" s="3">
        <f>+(Tabla1[[#This Row],[Prec acum (mm)]]-Tabla1[[#This Row],[Prec acum (mm) historica]])/Tabla1[[#This Row],[Prec acum (mm) historica]]*100</f>
        <v>-8.1395348837209305</v>
      </c>
    </row>
    <row r="79" spans="1:15" hidden="1" x14ac:dyDescent="0.25">
      <c r="A79">
        <v>2002</v>
      </c>
      <c r="B79" t="s">
        <v>2</v>
      </c>
      <c r="C79" t="s">
        <v>29</v>
      </c>
      <c r="D79" s="6">
        <v>27.9</v>
      </c>
      <c r="E79" s="6">
        <v>13.2</v>
      </c>
      <c r="F79" s="6">
        <v>20.399999999999999</v>
      </c>
      <c r="G79" s="6">
        <v>86</v>
      </c>
      <c r="H79" s="10">
        <v>27.9</v>
      </c>
      <c r="I79" s="10">
        <v>12</v>
      </c>
      <c r="J79" s="10">
        <v>20</v>
      </c>
      <c r="K79" s="10">
        <v>110</v>
      </c>
      <c r="L79" s="4">
        <f>+(Tabla1[[#This Row],[Tmax media (°C)]]-Tabla1[[#This Row],[Tmax media (°C) historica]])/Tabla1[[#This Row],[Tmax media (°C) historica]]*100</f>
        <v>0</v>
      </c>
      <c r="M79" s="4">
        <f>+(Tabla1[[#This Row],[Tmin media (°C)]]-Tabla1[[#This Row],[Tmin media (°C) historica]])/Tabla1[[#This Row],[Tmin media (°C) historica]]*100</f>
        <v>-9.0909090909090864</v>
      </c>
      <c r="N79" s="4">
        <f>+(Tabla1[[#This Row],[Tmedia media (°C)]]-Tabla1[[#This Row],[Tmedia media (°C) historica]])/Tabla1[[#This Row],[Tmedia media (°C) historica]]*100</f>
        <v>-1.9607843137254832</v>
      </c>
      <c r="O79" s="4">
        <f>+(Tabla1[[#This Row],[Prec acum (mm)]]-Tabla1[[#This Row],[Prec acum (mm) historica]])/Tabla1[[#This Row],[Prec acum (mm) historica]]*100</f>
        <v>27.906976744186046</v>
      </c>
    </row>
    <row r="80" spans="1:15" hidden="1" x14ac:dyDescent="0.25">
      <c r="A80">
        <v>2004</v>
      </c>
      <c r="B80" t="s">
        <v>2</v>
      </c>
      <c r="C80" t="s">
        <v>29</v>
      </c>
      <c r="D80" s="6">
        <v>27.9</v>
      </c>
      <c r="E80" s="6">
        <v>13.2</v>
      </c>
      <c r="F80" s="6">
        <v>20.399999999999999</v>
      </c>
      <c r="G80" s="6">
        <v>86</v>
      </c>
      <c r="H80" s="10">
        <v>27.8</v>
      </c>
      <c r="I80" s="10">
        <v>14.5</v>
      </c>
      <c r="J80" s="10">
        <v>21.2</v>
      </c>
      <c r="K80" s="10">
        <v>112</v>
      </c>
      <c r="L80" s="3">
        <f>+(Tabla1[[#This Row],[Tmax media (°C)]]-Tabla1[[#This Row],[Tmax media (°C) historica]])/Tabla1[[#This Row],[Tmax media (°C) historica]]*100</f>
        <v>-0.35842293906809275</v>
      </c>
      <c r="M80" s="3">
        <f>+(Tabla1[[#This Row],[Tmin media (°C)]]-Tabla1[[#This Row],[Tmin media (°C) historica]])/Tabla1[[#This Row],[Tmin media (°C) historica]]*100</f>
        <v>9.8484848484848548</v>
      </c>
      <c r="N80" s="3">
        <f>+(Tabla1[[#This Row],[Tmedia media (°C)]]-Tabla1[[#This Row],[Tmedia media (°C) historica]])/Tabla1[[#This Row],[Tmedia media (°C) historica]]*100</f>
        <v>3.9215686274509838</v>
      </c>
      <c r="O80" s="3">
        <f>+(Tabla1[[#This Row],[Prec acum (mm)]]-Tabla1[[#This Row],[Prec acum (mm) historica]])/Tabla1[[#This Row],[Prec acum (mm) historica]]*100</f>
        <v>30.232558139534881</v>
      </c>
    </row>
    <row r="81" spans="1:15" hidden="1" x14ac:dyDescent="0.25">
      <c r="A81">
        <v>2015</v>
      </c>
      <c r="B81" t="s">
        <v>2</v>
      </c>
      <c r="C81" t="s">
        <v>29</v>
      </c>
      <c r="D81" s="6">
        <v>27.9</v>
      </c>
      <c r="E81" s="6">
        <v>13.2</v>
      </c>
      <c r="F81" s="6">
        <v>20.399999999999999</v>
      </c>
      <c r="G81" s="6">
        <v>86</v>
      </c>
      <c r="H81" s="10">
        <v>29.1</v>
      </c>
      <c r="I81" s="10">
        <v>15.3</v>
      </c>
      <c r="J81" s="10">
        <v>22.2</v>
      </c>
      <c r="K81" s="10">
        <v>208</v>
      </c>
      <c r="L81" s="4">
        <f>+(Tabla1[[#This Row],[Tmax media (°C)]]-Tabla1[[#This Row],[Tmax media (°C) historica]])/Tabla1[[#This Row],[Tmax media (°C) historica]]*100</f>
        <v>4.3010752688172147</v>
      </c>
      <c r="M81" s="4">
        <f>+(Tabla1[[#This Row],[Tmin media (°C)]]-Tabla1[[#This Row],[Tmin media (°C) historica]])/Tabla1[[#This Row],[Tmin media (°C) historica]]*100</f>
        <v>15.909090909090921</v>
      </c>
      <c r="N81" s="4">
        <f>+(Tabla1[[#This Row],[Tmedia media (°C)]]-Tabla1[[#This Row],[Tmedia media (°C) historica]])/Tabla1[[#This Row],[Tmedia media (°C) historica]]*100</f>
        <v>8.8235294117647101</v>
      </c>
      <c r="O81" s="4">
        <f>+(Tabla1[[#This Row],[Prec acum (mm)]]-Tabla1[[#This Row],[Prec acum (mm) historica]])/Tabla1[[#This Row],[Prec acum (mm) historica]]*100</f>
        <v>141.86046511627907</v>
      </c>
    </row>
    <row r="82" spans="1:15" hidden="1" x14ac:dyDescent="0.25">
      <c r="A82">
        <v>2023</v>
      </c>
      <c r="B82" t="s">
        <v>2</v>
      </c>
      <c r="C82" t="s">
        <v>29</v>
      </c>
      <c r="D82" s="6">
        <v>27.9</v>
      </c>
      <c r="E82" s="6">
        <v>13.2</v>
      </c>
      <c r="F82" s="6">
        <v>20.399999999999999</v>
      </c>
      <c r="G82" s="6">
        <v>86</v>
      </c>
      <c r="H82" s="10">
        <v>28.1</v>
      </c>
      <c r="I82" s="10">
        <v>15.6</v>
      </c>
      <c r="J82" s="10">
        <v>21.9</v>
      </c>
      <c r="K82" s="10">
        <v>143</v>
      </c>
      <c r="L82" s="3">
        <f>+(Tabla1[[#This Row],[Tmax media (°C)]]-Tabla1[[#This Row],[Tmax media (°C) historica]])/Tabla1[[#This Row],[Tmax media (°C) historica]]*100</f>
        <v>0.71684587813621092</v>
      </c>
      <c r="M82" s="3">
        <f>+(Tabla1[[#This Row],[Tmin media (°C)]]-Tabla1[[#This Row],[Tmin media (°C) historica]])/Tabla1[[#This Row],[Tmin media (°C) historica]]*100</f>
        <v>18.181818181818183</v>
      </c>
      <c r="N82" s="3">
        <f>+(Tabla1[[#This Row],[Tmedia media (°C)]]-Tabla1[[#This Row],[Tmedia media (°C) historica]])/Tabla1[[#This Row],[Tmedia media (°C) historica]]*100</f>
        <v>7.3529411764705888</v>
      </c>
      <c r="O82" s="3">
        <f>+(Tabla1[[#This Row],[Prec acum (mm)]]-Tabla1[[#This Row],[Prec acum (mm) historica]])/Tabla1[[#This Row],[Prec acum (mm) historica]]*100</f>
        <v>66.279069767441854</v>
      </c>
    </row>
    <row r="83" spans="1:15" hidden="1" x14ac:dyDescent="0.25">
      <c r="A83">
        <v>1982</v>
      </c>
      <c r="B83" t="s">
        <v>15</v>
      </c>
      <c r="C83" t="s">
        <v>21</v>
      </c>
      <c r="D83" s="6">
        <v>13.5</v>
      </c>
      <c r="E83" s="6">
        <v>4</v>
      </c>
      <c r="F83" s="6">
        <v>8.9</v>
      </c>
      <c r="G83" s="6">
        <v>43</v>
      </c>
      <c r="H83" s="10">
        <v>12.8</v>
      </c>
      <c r="I83" s="10">
        <v>5</v>
      </c>
      <c r="J83" s="10">
        <v>8.9</v>
      </c>
      <c r="K83" s="10">
        <v>107</v>
      </c>
      <c r="L83" s="3">
        <f>+(Tabla1[[#This Row],[Tmax media (°C)]]-Tabla1[[#This Row],[Tmax media (°C) historica]])/Tabla1[[#This Row],[Tmax media (°C) historica]]*100</f>
        <v>-5.1851851851851798</v>
      </c>
      <c r="M83" s="3">
        <f>+(Tabla1[[#This Row],[Tmin media (°C)]]-Tabla1[[#This Row],[Tmin media (°C) historica]])/Tabla1[[#This Row],[Tmin media (°C) historica]]*100</f>
        <v>25</v>
      </c>
      <c r="N83" s="3">
        <f>+(Tabla1[[#This Row],[Tmedia media (°C)]]-Tabla1[[#This Row],[Tmedia media (°C) historica]])/Tabla1[[#This Row],[Tmedia media (°C) historica]]*100</f>
        <v>0</v>
      </c>
      <c r="O83" s="3">
        <f>+(Tabla1[[#This Row],[Prec acum (mm)]]-Tabla1[[#This Row],[Prec acum (mm) historica]])/Tabla1[[#This Row],[Prec acum (mm) historica]]*100</f>
        <v>148.83720930232559</v>
      </c>
    </row>
    <row r="84" spans="1:15" hidden="1" x14ac:dyDescent="0.25">
      <c r="A84">
        <v>1987</v>
      </c>
      <c r="B84" t="s">
        <v>15</v>
      </c>
      <c r="C84" t="s">
        <v>21</v>
      </c>
      <c r="D84" s="6">
        <v>13.5</v>
      </c>
      <c r="E84" s="6">
        <v>4</v>
      </c>
      <c r="F84" s="6">
        <v>8.9</v>
      </c>
      <c r="G84" s="6">
        <v>43</v>
      </c>
      <c r="H84" s="10">
        <v>15.2</v>
      </c>
      <c r="I84" s="10">
        <v>3</v>
      </c>
      <c r="J84" s="10">
        <v>9.1</v>
      </c>
      <c r="K84" s="10">
        <v>23</v>
      </c>
      <c r="L84" s="4">
        <f>+(Tabla1[[#This Row],[Tmax media (°C)]]-Tabla1[[#This Row],[Tmax media (°C) historica]])/Tabla1[[#This Row],[Tmax media (°C) historica]]*100</f>
        <v>12.592592592592588</v>
      </c>
      <c r="M84" s="4">
        <f>+(Tabla1[[#This Row],[Tmin media (°C)]]-Tabla1[[#This Row],[Tmin media (°C) historica]])/Tabla1[[#This Row],[Tmin media (°C) historica]]*100</f>
        <v>-25</v>
      </c>
      <c r="N84" s="4">
        <f>+(Tabla1[[#This Row],[Tmedia media (°C)]]-Tabla1[[#This Row],[Tmedia media (°C) historica]])/Tabla1[[#This Row],[Tmedia media (°C) historica]]*100</f>
        <v>2.2471910112359472</v>
      </c>
      <c r="O84" s="4">
        <f>+(Tabla1[[#This Row],[Prec acum (mm)]]-Tabla1[[#This Row],[Prec acum (mm) historica]])/Tabla1[[#This Row],[Prec acum (mm) historica]]*100</f>
        <v>-46.511627906976742</v>
      </c>
    </row>
    <row r="85" spans="1:15" hidden="1" x14ac:dyDescent="0.25">
      <c r="A85">
        <v>1991</v>
      </c>
      <c r="B85" t="s">
        <v>15</v>
      </c>
      <c r="C85" t="s">
        <v>21</v>
      </c>
      <c r="D85" s="6">
        <v>13.6</v>
      </c>
      <c r="E85" s="6">
        <v>4.0999999999999996</v>
      </c>
      <c r="F85" s="6">
        <v>8.9</v>
      </c>
      <c r="G85" s="6">
        <v>58</v>
      </c>
      <c r="H85" s="10">
        <v>12.4</v>
      </c>
      <c r="I85" s="10">
        <v>3.4</v>
      </c>
      <c r="J85" s="10">
        <v>7.9</v>
      </c>
      <c r="K85" s="10">
        <v>139</v>
      </c>
      <c r="L85" s="3">
        <f>+(Tabla1[[#This Row],[Tmax media (°C)]]-Tabla1[[#This Row],[Tmax media (°C) historica]])/Tabla1[[#This Row],[Tmax media (°C) historica]]*100</f>
        <v>-8.8235294117647012</v>
      </c>
      <c r="M85" s="3">
        <f>+(Tabla1[[#This Row],[Tmin media (°C)]]-Tabla1[[#This Row],[Tmin media (°C) historica]])/Tabla1[[#This Row],[Tmin media (°C) historica]]*100</f>
        <v>-17.073170731707314</v>
      </c>
      <c r="N85" s="3">
        <f>+(Tabla1[[#This Row],[Tmedia media (°C)]]-Tabla1[[#This Row],[Tmedia media (°C) historica]])/Tabla1[[#This Row],[Tmedia media (°C) historica]]*100</f>
        <v>-11.235955056179774</v>
      </c>
      <c r="O85" s="3">
        <f>+(Tabla1[[#This Row],[Prec acum (mm)]]-Tabla1[[#This Row],[Prec acum (mm) historica]])/Tabla1[[#This Row],[Prec acum (mm) historica]]*100</f>
        <v>139.65517241379311</v>
      </c>
    </row>
    <row r="86" spans="1:15" hidden="1" x14ac:dyDescent="0.25">
      <c r="A86">
        <v>1994</v>
      </c>
      <c r="B86" t="s">
        <v>15</v>
      </c>
      <c r="C86" t="s">
        <v>21</v>
      </c>
      <c r="D86" s="6">
        <v>13.6</v>
      </c>
      <c r="E86" s="6">
        <v>4.0999999999999996</v>
      </c>
      <c r="F86" s="6">
        <v>8.9</v>
      </c>
      <c r="G86" s="6">
        <v>58</v>
      </c>
      <c r="H86" s="10">
        <v>13.7</v>
      </c>
      <c r="I86" s="10">
        <v>4.4000000000000004</v>
      </c>
      <c r="J86" s="10">
        <v>9.1</v>
      </c>
      <c r="K86" s="10">
        <v>83</v>
      </c>
      <c r="L86" s="4">
        <f>+(Tabla1[[#This Row],[Tmax media (°C)]]-Tabla1[[#This Row],[Tmax media (°C) historica]])/Tabla1[[#This Row],[Tmax media (°C) historica]]*100</f>
        <v>0.73529411764705621</v>
      </c>
      <c r="M86" s="4">
        <f>+(Tabla1[[#This Row],[Tmin media (°C)]]-Tabla1[[#This Row],[Tmin media (°C) historica]])/Tabla1[[#This Row],[Tmin media (°C) historica]]*100</f>
        <v>7.3170731707317245</v>
      </c>
      <c r="N86" s="4">
        <f>+(Tabla1[[#This Row],[Tmedia media (°C)]]-Tabla1[[#This Row],[Tmedia media (°C) historica]])/Tabla1[[#This Row],[Tmedia media (°C) historica]]*100</f>
        <v>2.2471910112359472</v>
      </c>
      <c r="O86" s="4">
        <f>+(Tabla1[[#This Row],[Prec acum (mm)]]-Tabla1[[#This Row],[Prec acum (mm) historica]])/Tabla1[[#This Row],[Prec acum (mm) historica]]*100</f>
        <v>43.103448275862064</v>
      </c>
    </row>
    <row r="87" spans="1:15" hidden="1" x14ac:dyDescent="0.25">
      <c r="A87">
        <v>1997</v>
      </c>
      <c r="B87" t="s">
        <v>15</v>
      </c>
      <c r="C87" t="s">
        <v>21</v>
      </c>
      <c r="D87" s="6">
        <v>13.6</v>
      </c>
      <c r="E87" s="6">
        <v>4.0999999999999996</v>
      </c>
      <c r="F87" s="6">
        <v>8.9</v>
      </c>
      <c r="G87" s="6">
        <v>58</v>
      </c>
      <c r="H87" s="10">
        <v>13.4</v>
      </c>
      <c r="I87" s="10">
        <v>5.9</v>
      </c>
      <c r="J87" s="10">
        <v>9.6999999999999993</v>
      </c>
      <c r="K87" s="10">
        <v>58</v>
      </c>
      <c r="L87" s="3">
        <f>+(Tabla1[[#This Row],[Tmax media (°C)]]-Tabla1[[#This Row],[Tmax media (°C) historica]])/Tabla1[[#This Row],[Tmax media (°C) historica]]*100</f>
        <v>-1.4705882352941124</v>
      </c>
      <c r="M87" s="3">
        <f>+(Tabla1[[#This Row],[Tmin media (°C)]]-Tabla1[[#This Row],[Tmin media (°C) historica]])/Tabla1[[#This Row],[Tmin media (°C) historica]]*100</f>
        <v>43.902439024390269</v>
      </c>
      <c r="N87" s="3">
        <f>+(Tabla1[[#This Row],[Tmedia media (°C)]]-Tabla1[[#This Row],[Tmedia media (°C) historica]])/Tabla1[[#This Row],[Tmedia media (°C) historica]]*100</f>
        <v>8.9887640449438067</v>
      </c>
      <c r="O87" s="3">
        <f>+(Tabla1[[#This Row],[Prec acum (mm)]]-Tabla1[[#This Row],[Prec acum (mm) historica]])/Tabla1[[#This Row],[Prec acum (mm) historica]]*100</f>
        <v>0</v>
      </c>
    </row>
    <row r="88" spans="1:15" hidden="1" x14ac:dyDescent="0.25">
      <c r="A88">
        <v>2002</v>
      </c>
      <c r="B88" t="s">
        <v>15</v>
      </c>
      <c r="C88" t="s">
        <v>21</v>
      </c>
      <c r="D88" s="6">
        <v>13.6</v>
      </c>
      <c r="E88" s="6">
        <v>4.0999999999999996</v>
      </c>
      <c r="F88" s="6">
        <v>8.9</v>
      </c>
      <c r="G88" s="6">
        <v>58</v>
      </c>
      <c r="H88" s="10">
        <v>12.2</v>
      </c>
      <c r="I88" s="10">
        <v>2.4</v>
      </c>
      <c r="J88" s="10">
        <v>7.3</v>
      </c>
      <c r="K88" s="10">
        <v>18</v>
      </c>
      <c r="L88" s="4">
        <f>+(Tabla1[[#This Row],[Tmax media (°C)]]-Tabla1[[#This Row],[Tmax media (°C) historica]])/Tabla1[[#This Row],[Tmax media (°C) historica]]*100</f>
        <v>-10.294117647058826</v>
      </c>
      <c r="M88" s="4">
        <f>+(Tabla1[[#This Row],[Tmin media (°C)]]-Tabla1[[#This Row],[Tmin media (°C) historica]])/Tabla1[[#This Row],[Tmin media (°C) historica]]*100</f>
        <v>-41.463414634146339</v>
      </c>
      <c r="N88" s="4">
        <f>+(Tabla1[[#This Row],[Tmedia media (°C)]]-Tabla1[[#This Row],[Tmedia media (°C) historica]])/Tabla1[[#This Row],[Tmedia media (°C) historica]]*100</f>
        <v>-17.977528089887645</v>
      </c>
      <c r="O88" s="4">
        <f>+(Tabla1[[#This Row],[Prec acum (mm)]]-Tabla1[[#This Row],[Prec acum (mm) historica]])/Tabla1[[#This Row],[Prec acum (mm) historica]]*100</f>
        <v>-68.965517241379317</v>
      </c>
    </row>
    <row r="89" spans="1:15" hidden="1" x14ac:dyDescent="0.25">
      <c r="A89">
        <v>2004</v>
      </c>
      <c r="B89" t="s">
        <v>15</v>
      </c>
      <c r="C89" t="s">
        <v>21</v>
      </c>
      <c r="D89" s="6">
        <v>13.6</v>
      </c>
      <c r="E89" s="6">
        <v>4.0999999999999996</v>
      </c>
      <c r="F89" s="6">
        <v>8.9</v>
      </c>
      <c r="G89" s="6">
        <v>58</v>
      </c>
      <c r="H89" s="10">
        <v>15.6</v>
      </c>
      <c r="I89" s="10">
        <v>3.8</v>
      </c>
      <c r="J89" s="10">
        <v>9.6999999999999993</v>
      </c>
      <c r="K89" s="10">
        <v>30</v>
      </c>
      <c r="L89" s="3">
        <f>+(Tabla1[[#This Row],[Tmax media (°C)]]-Tabla1[[#This Row],[Tmax media (°C) historica]])/Tabla1[[#This Row],[Tmax media (°C) historica]]*100</f>
        <v>14.705882352941178</v>
      </c>
      <c r="M89" s="3">
        <f>+(Tabla1[[#This Row],[Tmin media (°C)]]-Tabla1[[#This Row],[Tmin media (°C) historica]])/Tabla1[[#This Row],[Tmin media (°C) historica]]*100</f>
        <v>-7.317073170731704</v>
      </c>
      <c r="N89" s="3">
        <f>+(Tabla1[[#This Row],[Tmedia media (°C)]]-Tabla1[[#This Row],[Tmedia media (°C) historica]])/Tabla1[[#This Row],[Tmedia media (°C) historica]]*100</f>
        <v>8.9887640449438067</v>
      </c>
      <c r="O89" s="3">
        <f>+(Tabla1[[#This Row],[Prec acum (mm)]]-Tabla1[[#This Row],[Prec acum (mm) historica]])/Tabla1[[#This Row],[Prec acum (mm) historica]]*100</f>
        <v>-48.275862068965516</v>
      </c>
    </row>
    <row r="90" spans="1:15" hidden="1" x14ac:dyDescent="0.25">
      <c r="A90">
        <v>2015</v>
      </c>
      <c r="B90" t="s">
        <v>15</v>
      </c>
      <c r="C90" t="s">
        <v>21</v>
      </c>
      <c r="D90" s="6">
        <v>13.6</v>
      </c>
      <c r="E90" s="6">
        <v>4.0999999999999996</v>
      </c>
      <c r="F90" s="6">
        <v>8.9</v>
      </c>
      <c r="G90" s="6">
        <v>58</v>
      </c>
      <c r="H90" s="10">
        <v>15.2</v>
      </c>
      <c r="I90" s="10">
        <v>4.5</v>
      </c>
      <c r="J90" s="10">
        <v>9.9</v>
      </c>
      <c r="K90" s="10">
        <v>37</v>
      </c>
      <c r="L90" s="4">
        <f>+(Tabla1[[#This Row],[Tmax media (°C)]]-Tabla1[[#This Row],[Tmax media (°C) historica]])/Tabla1[[#This Row],[Tmax media (°C) historica]]*100</f>
        <v>11.764705882352938</v>
      </c>
      <c r="M90" s="4">
        <f>+(Tabla1[[#This Row],[Tmin media (°C)]]-Tabla1[[#This Row],[Tmin media (°C) historica]])/Tabla1[[#This Row],[Tmin media (°C) historica]]*100</f>
        <v>9.7560975609756202</v>
      </c>
      <c r="N90" s="4">
        <f>+(Tabla1[[#This Row],[Tmedia media (°C)]]-Tabla1[[#This Row],[Tmedia media (°C) historica]])/Tabla1[[#This Row],[Tmedia media (°C) historica]]*100</f>
        <v>11.235955056179774</v>
      </c>
      <c r="O90" s="4">
        <f>+(Tabla1[[#This Row],[Prec acum (mm)]]-Tabla1[[#This Row],[Prec acum (mm) historica]])/Tabla1[[#This Row],[Prec acum (mm) historica]]*100</f>
        <v>-36.206896551724135</v>
      </c>
    </row>
    <row r="91" spans="1:15" hidden="1" x14ac:dyDescent="0.25">
      <c r="A91">
        <v>2023</v>
      </c>
      <c r="B91" t="s">
        <v>15</v>
      </c>
      <c r="C91" t="s">
        <v>21</v>
      </c>
      <c r="D91" s="6">
        <v>13.6</v>
      </c>
      <c r="E91" s="6">
        <v>4.0999999999999996</v>
      </c>
      <c r="F91" s="6">
        <v>8.9</v>
      </c>
      <c r="G91" s="6">
        <v>58</v>
      </c>
      <c r="H91" s="10">
        <v>14.5</v>
      </c>
      <c r="I91" s="10">
        <v>4.2</v>
      </c>
      <c r="J91" s="10">
        <v>9.4</v>
      </c>
      <c r="K91" s="10">
        <v>36</v>
      </c>
      <c r="L91" s="3">
        <f>+(Tabla1[[#This Row],[Tmax media (°C)]]-Tabla1[[#This Row],[Tmax media (°C) historica]])/Tabla1[[#This Row],[Tmax media (°C) historica]]*100</f>
        <v>6.6176470588235325</v>
      </c>
      <c r="M91" s="3">
        <f>+(Tabla1[[#This Row],[Tmin media (°C)]]-Tabla1[[#This Row],[Tmin media (°C) historica]])/Tabla1[[#This Row],[Tmin media (°C) historica]]*100</f>
        <v>2.4390243902439157</v>
      </c>
      <c r="N91" s="3">
        <f>+(Tabla1[[#This Row],[Tmedia media (°C)]]-Tabla1[[#This Row],[Tmedia media (°C) historica]])/Tabla1[[#This Row],[Tmedia media (°C) historica]]*100</f>
        <v>5.6179775280898872</v>
      </c>
      <c r="O91" s="3">
        <f>+(Tabla1[[#This Row],[Prec acum (mm)]]-Tabla1[[#This Row],[Prec acum (mm) historica]])/Tabla1[[#This Row],[Prec acum (mm) historica]]*100</f>
        <v>-37.931034482758619</v>
      </c>
    </row>
    <row r="92" spans="1:15" hidden="1" x14ac:dyDescent="0.25">
      <c r="A92">
        <v>1982</v>
      </c>
      <c r="B92" t="s">
        <v>15</v>
      </c>
      <c r="C92" t="s">
        <v>22</v>
      </c>
      <c r="D92" s="6">
        <v>12.5</v>
      </c>
      <c r="E92" s="6">
        <v>3.2</v>
      </c>
      <c r="F92" s="6">
        <v>8.1</v>
      </c>
      <c r="G92" s="6">
        <v>45</v>
      </c>
      <c r="H92" s="10">
        <v>12.3</v>
      </c>
      <c r="I92" s="10">
        <v>4.4000000000000004</v>
      </c>
      <c r="J92" s="10">
        <v>8.3000000000000007</v>
      </c>
      <c r="K92" s="10">
        <v>112</v>
      </c>
      <c r="L92" s="3">
        <f>+(Tabla1[[#This Row],[Tmax media (°C)]]-Tabla1[[#This Row],[Tmax media (°C) historica]])/Tabla1[[#This Row],[Tmax media (°C) historica]]*100</f>
        <v>-1.5999999999999945</v>
      </c>
      <c r="M92" s="3">
        <f>+(Tabla1[[#This Row],[Tmin media (°C)]]-Tabla1[[#This Row],[Tmin media (°C) historica]])/Tabla1[[#This Row],[Tmin media (°C) historica]]*100</f>
        <v>37.500000000000007</v>
      </c>
      <c r="N92" s="3">
        <f>+(Tabla1[[#This Row],[Tmedia media (°C)]]-Tabla1[[#This Row],[Tmedia media (°C) historica]])/Tabla1[[#This Row],[Tmedia media (°C) historica]]*100</f>
        <v>2.469135802469149</v>
      </c>
      <c r="O92" s="3">
        <f>+(Tabla1[[#This Row],[Prec acum (mm)]]-Tabla1[[#This Row],[Prec acum (mm) historica]])/Tabla1[[#This Row],[Prec acum (mm) historica]]*100</f>
        <v>148.88888888888889</v>
      </c>
    </row>
    <row r="93" spans="1:15" hidden="1" x14ac:dyDescent="0.25">
      <c r="A93">
        <v>1987</v>
      </c>
      <c r="B93" t="s">
        <v>15</v>
      </c>
      <c r="C93" t="s">
        <v>22</v>
      </c>
      <c r="D93" s="6">
        <v>12.5</v>
      </c>
      <c r="E93" s="6">
        <v>3.2</v>
      </c>
      <c r="F93" s="6">
        <v>8.1</v>
      </c>
      <c r="G93" s="6">
        <v>45</v>
      </c>
      <c r="H93" s="10">
        <v>13.4</v>
      </c>
      <c r="I93" s="10">
        <v>4.4000000000000004</v>
      </c>
      <c r="J93" s="10">
        <v>8.9</v>
      </c>
      <c r="K93" s="10">
        <v>122</v>
      </c>
      <c r="L93" s="4">
        <f>+(Tabla1[[#This Row],[Tmax media (°C)]]-Tabla1[[#This Row],[Tmax media (°C) historica]])/Tabla1[[#This Row],[Tmax media (°C) historica]]*100</f>
        <v>7.200000000000002</v>
      </c>
      <c r="M93" s="4">
        <f>+(Tabla1[[#This Row],[Tmin media (°C)]]-Tabla1[[#This Row],[Tmin media (°C) historica]])/Tabla1[[#This Row],[Tmin media (°C) historica]]*100</f>
        <v>37.500000000000007</v>
      </c>
      <c r="N93" s="4">
        <f>+(Tabla1[[#This Row],[Tmedia media (°C)]]-Tabla1[[#This Row],[Tmedia media (°C) historica]])/Tabla1[[#This Row],[Tmedia media (°C) historica]]*100</f>
        <v>9.8765432098765515</v>
      </c>
      <c r="O93" s="4">
        <f>+(Tabla1[[#This Row],[Prec acum (mm)]]-Tabla1[[#This Row],[Prec acum (mm) historica]])/Tabla1[[#This Row],[Prec acum (mm) historica]]*100</f>
        <v>171.11111111111111</v>
      </c>
    </row>
    <row r="94" spans="1:15" hidden="1" x14ac:dyDescent="0.25">
      <c r="A94">
        <v>1991</v>
      </c>
      <c r="B94" t="s">
        <v>15</v>
      </c>
      <c r="C94" t="s">
        <v>22</v>
      </c>
      <c r="D94" s="6">
        <v>12.5</v>
      </c>
      <c r="E94" s="6">
        <v>3.1</v>
      </c>
      <c r="F94" s="6">
        <v>7.8</v>
      </c>
      <c r="G94" s="6">
        <v>60</v>
      </c>
      <c r="H94" s="10">
        <v>12.3</v>
      </c>
      <c r="I94" s="10">
        <v>2.8</v>
      </c>
      <c r="J94" s="10">
        <v>7.6</v>
      </c>
      <c r="K94" s="10">
        <v>50</v>
      </c>
      <c r="L94" s="3">
        <f>+(Tabla1[[#This Row],[Tmax media (°C)]]-Tabla1[[#This Row],[Tmax media (°C) historica]])/Tabla1[[#This Row],[Tmax media (°C) historica]]*100</f>
        <v>-1.5999999999999945</v>
      </c>
      <c r="M94" s="3">
        <f>+(Tabla1[[#This Row],[Tmin media (°C)]]-Tabla1[[#This Row],[Tmin media (°C) historica]])/Tabla1[[#This Row],[Tmin media (°C) historica]]*100</f>
        <v>-9.6774193548387171</v>
      </c>
      <c r="N94" s="3">
        <f>+(Tabla1[[#This Row],[Tmedia media (°C)]]-Tabla1[[#This Row],[Tmedia media (°C) historica]])/Tabla1[[#This Row],[Tmedia media (°C) historica]]*100</f>
        <v>-2.5641025641025665</v>
      </c>
      <c r="O94" s="3">
        <f>+(Tabla1[[#This Row],[Prec acum (mm)]]-Tabla1[[#This Row],[Prec acum (mm) historica]])/Tabla1[[#This Row],[Prec acum (mm) historica]]*100</f>
        <v>-16.666666666666664</v>
      </c>
    </row>
    <row r="95" spans="1:15" hidden="1" x14ac:dyDescent="0.25">
      <c r="A95">
        <v>1994</v>
      </c>
      <c r="B95" t="s">
        <v>15</v>
      </c>
      <c r="C95" t="s">
        <v>22</v>
      </c>
      <c r="D95" s="6">
        <v>12.5</v>
      </c>
      <c r="E95" s="6">
        <v>3.1</v>
      </c>
      <c r="F95" s="6">
        <v>7.8</v>
      </c>
      <c r="G95" s="6">
        <v>60</v>
      </c>
      <c r="H95" s="10">
        <v>12.3</v>
      </c>
      <c r="I95" s="10">
        <v>2.2999999999999998</v>
      </c>
      <c r="J95" s="10">
        <v>7.3</v>
      </c>
      <c r="K95" s="10">
        <v>61</v>
      </c>
      <c r="L95" s="4">
        <f>+(Tabla1[[#This Row],[Tmax media (°C)]]-Tabla1[[#This Row],[Tmax media (°C) historica]])/Tabla1[[#This Row],[Tmax media (°C) historica]]*100</f>
        <v>-1.5999999999999945</v>
      </c>
      <c r="M95" s="4">
        <f>+(Tabla1[[#This Row],[Tmin media (°C)]]-Tabla1[[#This Row],[Tmin media (°C) historica]])/Tabla1[[#This Row],[Tmin media (°C) historica]]*100</f>
        <v>-25.806451612903235</v>
      </c>
      <c r="N95" s="4">
        <f>+(Tabla1[[#This Row],[Tmedia media (°C)]]-Tabla1[[#This Row],[Tmedia media (°C) historica]])/Tabla1[[#This Row],[Tmedia media (°C) historica]]*100</f>
        <v>-6.4102564102564115</v>
      </c>
      <c r="O95" s="4">
        <f>+(Tabla1[[#This Row],[Prec acum (mm)]]-Tabla1[[#This Row],[Prec acum (mm) historica]])/Tabla1[[#This Row],[Prec acum (mm) historica]]*100</f>
        <v>1.6666666666666667</v>
      </c>
    </row>
    <row r="96" spans="1:15" hidden="1" x14ac:dyDescent="0.25">
      <c r="A96">
        <v>1997</v>
      </c>
      <c r="B96" t="s">
        <v>15</v>
      </c>
      <c r="C96" t="s">
        <v>22</v>
      </c>
      <c r="D96" s="6">
        <v>12.5</v>
      </c>
      <c r="E96" s="6">
        <v>3.1</v>
      </c>
      <c r="F96" s="6">
        <v>7.8</v>
      </c>
      <c r="G96" s="6">
        <v>60</v>
      </c>
      <c r="H96" s="10">
        <v>14.1</v>
      </c>
      <c r="I96" s="10">
        <v>4.9000000000000004</v>
      </c>
      <c r="J96" s="10">
        <v>9.5</v>
      </c>
      <c r="K96" s="10">
        <v>78</v>
      </c>
      <c r="L96" s="3">
        <f>+(Tabla1[[#This Row],[Tmax media (°C)]]-Tabla1[[#This Row],[Tmax media (°C) historica]])/Tabla1[[#This Row],[Tmax media (°C) historica]]*100</f>
        <v>12.799999999999997</v>
      </c>
      <c r="M96" s="3">
        <f>+(Tabla1[[#This Row],[Tmin media (°C)]]-Tabla1[[#This Row],[Tmin media (°C) historica]])/Tabla1[[#This Row],[Tmin media (°C) historica]]*100</f>
        <v>58.064516129032263</v>
      </c>
      <c r="N96" s="3">
        <f>+(Tabla1[[#This Row],[Tmedia media (°C)]]-Tabla1[[#This Row],[Tmedia media (°C) historica]])/Tabla1[[#This Row],[Tmedia media (°C) historica]]*100</f>
        <v>21.794871794871799</v>
      </c>
      <c r="O96" s="3">
        <f>+(Tabla1[[#This Row],[Prec acum (mm)]]-Tabla1[[#This Row],[Prec acum (mm) historica]])/Tabla1[[#This Row],[Prec acum (mm) historica]]*100</f>
        <v>30</v>
      </c>
    </row>
    <row r="97" spans="1:15" hidden="1" x14ac:dyDescent="0.25">
      <c r="A97">
        <v>2002</v>
      </c>
      <c r="B97" t="s">
        <v>15</v>
      </c>
      <c r="C97" t="s">
        <v>22</v>
      </c>
      <c r="D97" s="6">
        <v>12.5</v>
      </c>
      <c r="E97" s="6">
        <v>3.1</v>
      </c>
      <c r="F97" s="6">
        <v>7.8</v>
      </c>
      <c r="G97" s="6">
        <v>60</v>
      </c>
      <c r="H97" s="10">
        <v>12.3</v>
      </c>
      <c r="I97" s="10">
        <v>3.1</v>
      </c>
      <c r="J97" s="10">
        <v>7.7</v>
      </c>
      <c r="K97" s="10">
        <v>42</v>
      </c>
      <c r="L97" s="4">
        <f>+(Tabla1[[#This Row],[Tmax media (°C)]]-Tabla1[[#This Row],[Tmax media (°C) historica]])/Tabla1[[#This Row],[Tmax media (°C) historica]]*100</f>
        <v>-1.5999999999999945</v>
      </c>
      <c r="M97" s="4">
        <f>+(Tabla1[[#This Row],[Tmin media (°C)]]-Tabla1[[#This Row],[Tmin media (°C) historica]])/Tabla1[[#This Row],[Tmin media (°C) historica]]*100</f>
        <v>0</v>
      </c>
      <c r="N97" s="4">
        <f>+(Tabla1[[#This Row],[Tmedia media (°C)]]-Tabla1[[#This Row],[Tmedia media (°C) historica]])/Tabla1[[#This Row],[Tmedia media (°C) historica]]*100</f>
        <v>-1.2820512820512775</v>
      </c>
      <c r="O97" s="4">
        <f>+(Tabla1[[#This Row],[Prec acum (mm)]]-Tabla1[[#This Row],[Prec acum (mm) historica]])/Tabla1[[#This Row],[Prec acum (mm) historica]]*100</f>
        <v>-30</v>
      </c>
    </row>
    <row r="98" spans="1:15" hidden="1" x14ac:dyDescent="0.25">
      <c r="A98">
        <v>2004</v>
      </c>
      <c r="B98" t="s">
        <v>15</v>
      </c>
      <c r="C98" t="s">
        <v>22</v>
      </c>
      <c r="D98" s="6">
        <v>12.5</v>
      </c>
      <c r="E98" s="6">
        <v>3.1</v>
      </c>
      <c r="F98" s="6">
        <v>7.8</v>
      </c>
      <c r="G98" s="6">
        <v>60</v>
      </c>
      <c r="H98" s="10">
        <v>12.6</v>
      </c>
      <c r="I98" s="10">
        <v>4.2</v>
      </c>
      <c r="J98" s="10">
        <v>8.4</v>
      </c>
      <c r="K98" s="10">
        <v>80</v>
      </c>
      <c r="L98" s="3">
        <f>+(Tabla1[[#This Row],[Tmax media (°C)]]-Tabla1[[#This Row],[Tmax media (°C) historica]])/Tabla1[[#This Row],[Tmax media (°C) historica]]*100</f>
        <v>0.79999999999999727</v>
      </c>
      <c r="M98" s="3">
        <f>+(Tabla1[[#This Row],[Tmin media (°C)]]-Tabla1[[#This Row],[Tmin media (°C) historica]])/Tabla1[[#This Row],[Tmin media (°C) historica]]*100</f>
        <v>35.483870967741936</v>
      </c>
      <c r="N98" s="3">
        <f>+(Tabla1[[#This Row],[Tmedia media (°C)]]-Tabla1[[#This Row],[Tmedia media (°C) historica]])/Tabla1[[#This Row],[Tmedia media (°C) historica]]*100</f>
        <v>7.6923076923076996</v>
      </c>
      <c r="O98" s="3">
        <f>+(Tabla1[[#This Row],[Prec acum (mm)]]-Tabla1[[#This Row],[Prec acum (mm) historica]])/Tabla1[[#This Row],[Prec acum (mm) historica]]*100</f>
        <v>33.333333333333329</v>
      </c>
    </row>
    <row r="99" spans="1:15" hidden="1" x14ac:dyDescent="0.25">
      <c r="A99">
        <v>2015</v>
      </c>
      <c r="B99" t="s">
        <v>15</v>
      </c>
      <c r="C99" t="s">
        <v>22</v>
      </c>
      <c r="D99" s="6">
        <v>12.5</v>
      </c>
      <c r="E99" s="6">
        <v>3.1</v>
      </c>
      <c r="F99" s="6">
        <v>7.8</v>
      </c>
      <c r="G99" s="6">
        <v>60</v>
      </c>
      <c r="H99" s="10">
        <v>14.2</v>
      </c>
      <c r="I99" s="10">
        <v>3.6</v>
      </c>
      <c r="J99" s="10">
        <v>8.9</v>
      </c>
      <c r="K99" s="10">
        <v>82</v>
      </c>
      <c r="L99" s="4">
        <f>+(Tabla1[[#This Row],[Tmax media (°C)]]-Tabla1[[#This Row],[Tmax media (°C) historica]])/Tabla1[[#This Row],[Tmax media (°C) historica]]*100</f>
        <v>13.599999999999996</v>
      </c>
      <c r="M99" s="4">
        <f>+(Tabla1[[#This Row],[Tmin media (°C)]]-Tabla1[[#This Row],[Tmin media (°C) historica]])/Tabla1[[#This Row],[Tmin media (°C) historica]]*100</f>
        <v>16.129032258064516</v>
      </c>
      <c r="N99" s="4">
        <f>+(Tabla1[[#This Row],[Tmedia media (°C)]]-Tabla1[[#This Row],[Tmedia media (°C) historica]])/Tabla1[[#This Row],[Tmedia media (°C) historica]]*100</f>
        <v>14.102564102564111</v>
      </c>
      <c r="O99" s="4">
        <f>+(Tabla1[[#This Row],[Prec acum (mm)]]-Tabla1[[#This Row],[Prec acum (mm) historica]])/Tabla1[[#This Row],[Prec acum (mm) historica]]*100</f>
        <v>36.666666666666664</v>
      </c>
    </row>
    <row r="100" spans="1:15" hidden="1" x14ac:dyDescent="0.25">
      <c r="A100">
        <v>2023</v>
      </c>
      <c r="B100" t="s">
        <v>15</v>
      </c>
      <c r="C100" t="s">
        <v>22</v>
      </c>
      <c r="D100" s="6">
        <v>12.5</v>
      </c>
      <c r="E100" s="6">
        <v>3.1</v>
      </c>
      <c r="F100" s="6">
        <v>7.8</v>
      </c>
      <c r="G100" s="6">
        <v>60</v>
      </c>
      <c r="H100" s="10">
        <v>13</v>
      </c>
      <c r="I100" s="10">
        <v>4.5</v>
      </c>
      <c r="J100" s="10">
        <v>8.8000000000000007</v>
      </c>
      <c r="K100" s="10">
        <v>163</v>
      </c>
      <c r="L100" s="3">
        <f>+(Tabla1[[#This Row],[Tmax media (°C)]]-Tabla1[[#This Row],[Tmax media (°C) historica]])/Tabla1[[#This Row],[Tmax media (°C) historica]]*100</f>
        <v>4</v>
      </c>
      <c r="M100" s="3">
        <f>+(Tabla1[[#This Row],[Tmin media (°C)]]-Tabla1[[#This Row],[Tmin media (°C) historica]])/Tabla1[[#This Row],[Tmin media (°C) historica]]*100</f>
        <v>45.161290322580641</v>
      </c>
      <c r="N100" s="3">
        <f>+(Tabla1[[#This Row],[Tmedia media (°C)]]-Tabla1[[#This Row],[Tmedia media (°C) historica]])/Tabla1[[#This Row],[Tmedia media (°C) historica]]*100</f>
        <v>12.820512820512834</v>
      </c>
      <c r="O100" s="3">
        <f>+(Tabla1[[#This Row],[Prec acum (mm)]]-Tabla1[[#This Row],[Prec acum (mm) historica]])/Tabla1[[#This Row],[Prec acum (mm) historica]]*100</f>
        <v>171.66666666666666</v>
      </c>
    </row>
    <row r="101" spans="1:15" hidden="1" x14ac:dyDescent="0.25">
      <c r="A101">
        <v>1982</v>
      </c>
      <c r="B101" t="s">
        <v>15</v>
      </c>
      <c r="C101" t="s">
        <v>23</v>
      </c>
      <c r="D101" s="6">
        <v>15</v>
      </c>
      <c r="E101" s="6">
        <v>3.8</v>
      </c>
      <c r="F101" s="6">
        <v>9.3000000000000007</v>
      </c>
      <c r="G101" s="6">
        <v>42</v>
      </c>
      <c r="H101" s="10">
        <v>14.6</v>
      </c>
      <c r="I101" s="10">
        <v>4.4000000000000004</v>
      </c>
      <c r="J101" s="10">
        <v>9.5</v>
      </c>
      <c r="K101" s="10">
        <v>29</v>
      </c>
      <c r="L101" s="3">
        <f>+(Tabla1[[#This Row],[Tmax media (°C)]]-Tabla1[[#This Row],[Tmax media (°C) historica]])/Tabla1[[#This Row],[Tmax media (°C) historica]]*100</f>
        <v>-2.6666666666666687</v>
      </c>
      <c r="M101" s="3">
        <f>+(Tabla1[[#This Row],[Tmin media (°C)]]-Tabla1[[#This Row],[Tmin media (°C) historica]])/Tabla1[[#This Row],[Tmin media (°C) historica]]*100</f>
        <v>15.789473684210542</v>
      </c>
      <c r="N101" s="3">
        <f>+(Tabla1[[#This Row],[Tmedia media (°C)]]-Tabla1[[#This Row],[Tmedia media (°C) historica]])/Tabla1[[#This Row],[Tmedia media (°C) historica]]*100</f>
        <v>2.1505376344085945</v>
      </c>
      <c r="O101" s="3">
        <f>+(Tabla1[[#This Row],[Prec acum (mm)]]-Tabla1[[#This Row],[Prec acum (mm) historica]])/Tabla1[[#This Row],[Prec acum (mm) historica]]*100</f>
        <v>-30.952380952380953</v>
      </c>
    </row>
    <row r="102" spans="1:15" hidden="1" x14ac:dyDescent="0.25">
      <c r="A102">
        <v>1987</v>
      </c>
      <c r="B102" t="s">
        <v>15</v>
      </c>
      <c r="C102" t="s">
        <v>23</v>
      </c>
      <c r="D102" s="6">
        <v>15</v>
      </c>
      <c r="E102" s="6">
        <v>3.8</v>
      </c>
      <c r="F102" s="6">
        <v>9.3000000000000007</v>
      </c>
      <c r="G102" s="6">
        <v>42</v>
      </c>
      <c r="H102" s="10">
        <v>13.1</v>
      </c>
      <c r="I102" s="10">
        <v>3.9</v>
      </c>
      <c r="J102" s="10">
        <v>8.5</v>
      </c>
      <c r="K102" s="10">
        <v>59</v>
      </c>
      <c r="L102" s="4">
        <f>+(Tabla1[[#This Row],[Tmax media (°C)]]-Tabla1[[#This Row],[Tmax media (°C) historica]])/Tabla1[[#This Row],[Tmax media (°C) historica]]*100</f>
        <v>-12.666666666666668</v>
      </c>
      <c r="M102" s="4">
        <f>+(Tabla1[[#This Row],[Tmin media (°C)]]-Tabla1[[#This Row],[Tmin media (°C) historica]])/Tabla1[[#This Row],[Tmin media (°C) historica]]*100</f>
        <v>2.6315789473684239</v>
      </c>
      <c r="N102" s="4">
        <f>+(Tabla1[[#This Row],[Tmedia media (°C)]]-Tabla1[[#This Row],[Tmedia media (°C) historica]])/Tabla1[[#This Row],[Tmedia media (°C) historica]]*100</f>
        <v>-8.6021505376344169</v>
      </c>
      <c r="O102" s="4">
        <f>+(Tabla1[[#This Row],[Prec acum (mm)]]-Tabla1[[#This Row],[Prec acum (mm) historica]])/Tabla1[[#This Row],[Prec acum (mm) historica]]*100</f>
        <v>40.476190476190474</v>
      </c>
    </row>
    <row r="103" spans="1:15" hidden="1" x14ac:dyDescent="0.25">
      <c r="A103">
        <v>1991</v>
      </c>
      <c r="B103" t="s">
        <v>15</v>
      </c>
      <c r="C103" t="s">
        <v>23</v>
      </c>
      <c r="D103" s="6">
        <v>14.6</v>
      </c>
      <c r="E103" s="6">
        <v>3.9</v>
      </c>
      <c r="F103" s="6">
        <v>9.5</v>
      </c>
      <c r="G103" s="6">
        <v>49</v>
      </c>
      <c r="H103" s="10">
        <v>14.9</v>
      </c>
      <c r="I103" s="10">
        <v>5.6</v>
      </c>
      <c r="J103" s="10">
        <v>10.3</v>
      </c>
      <c r="K103" s="10">
        <v>16</v>
      </c>
      <c r="L103" s="3">
        <f>+(Tabla1[[#This Row],[Tmax media (°C)]]-Tabla1[[#This Row],[Tmax media (°C) historica]])/Tabla1[[#This Row],[Tmax media (°C) historica]]*100</f>
        <v>2.0547945205479503</v>
      </c>
      <c r="M103" s="3">
        <f>+(Tabla1[[#This Row],[Tmin media (°C)]]-Tabla1[[#This Row],[Tmin media (°C) historica]])/Tabla1[[#This Row],[Tmin media (°C) historica]]*100</f>
        <v>43.589743589743584</v>
      </c>
      <c r="N103" s="3">
        <f>+(Tabla1[[#This Row],[Tmedia media (°C)]]-Tabla1[[#This Row],[Tmedia media (°C) historica]])/Tabla1[[#This Row],[Tmedia media (°C) historica]]*100</f>
        <v>8.4210526315789558</v>
      </c>
      <c r="O103" s="3">
        <f>+(Tabla1[[#This Row],[Prec acum (mm)]]-Tabla1[[#This Row],[Prec acum (mm) historica]])/Tabla1[[#This Row],[Prec acum (mm) historica]]*100</f>
        <v>-67.346938775510196</v>
      </c>
    </row>
    <row r="104" spans="1:15" hidden="1" x14ac:dyDescent="0.25">
      <c r="A104">
        <v>1994</v>
      </c>
      <c r="B104" t="s">
        <v>15</v>
      </c>
      <c r="C104" t="s">
        <v>23</v>
      </c>
      <c r="D104" s="6">
        <v>14.6</v>
      </c>
      <c r="E104" s="6">
        <v>3.9</v>
      </c>
      <c r="F104" s="6">
        <v>9.5</v>
      </c>
      <c r="G104" s="6">
        <v>49</v>
      </c>
      <c r="H104" s="10">
        <v>14.1</v>
      </c>
      <c r="I104" s="10">
        <v>3.7</v>
      </c>
      <c r="J104" s="10">
        <v>8.9</v>
      </c>
      <c r="K104" s="10">
        <v>11</v>
      </c>
      <c r="L104" s="4">
        <f>+(Tabla1[[#This Row],[Tmax media (°C)]]-Tabla1[[#This Row],[Tmax media (°C) historica]])/Tabla1[[#This Row],[Tmax media (°C) historica]]*100</f>
        <v>-3.4246575342465753</v>
      </c>
      <c r="M104" s="4">
        <f>+(Tabla1[[#This Row],[Tmin media (°C)]]-Tabla1[[#This Row],[Tmin media (°C) historica]])/Tabla1[[#This Row],[Tmin media (°C) historica]]*100</f>
        <v>-5.1282051282051215</v>
      </c>
      <c r="N104" s="4">
        <f>+(Tabla1[[#This Row],[Tmedia media (°C)]]-Tabla1[[#This Row],[Tmedia media (°C) historica]])/Tabla1[[#This Row],[Tmedia media (°C) historica]]*100</f>
        <v>-6.3157894736842062</v>
      </c>
      <c r="O104" s="4">
        <f>+(Tabla1[[#This Row],[Prec acum (mm)]]-Tabla1[[#This Row],[Prec acum (mm) historica]])/Tabla1[[#This Row],[Prec acum (mm) historica]]*100</f>
        <v>-77.551020408163268</v>
      </c>
    </row>
    <row r="105" spans="1:15" hidden="1" x14ac:dyDescent="0.25">
      <c r="A105">
        <v>1997</v>
      </c>
      <c r="B105" t="s">
        <v>15</v>
      </c>
      <c r="C105" t="s">
        <v>23</v>
      </c>
      <c r="D105" s="6">
        <v>14.6</v>
      </c>
      <c r="E105" s="6">
        <v>3.9</v>
      </c>
      <c r="F105" s="6">
        <v>9.5</v>
      </c>
      <c r="G105" s="6">
        <v>49</v>
      </c>
      <c r="H105" s="10">
        <v>15</v>
      </c>
      <c r="I105" s="10">
        <v>4.9000000000000004</v>
      </c>
      <c r="J105" s="10">
        <v>9.9</v>
      </c>
      <c r="K105" s="10">
        <v>83</v>
      </c>
      <c r="L105" s="3">
        <f>+(Tabla1[[#This Row],[Tmax media (°C)]]-Tabla1[[#This Row],[Tmax media (°C) historica]])/Tabla1[[#This Row],[Tmax media (°C) historica]]*100</f>
        <v>2.7397260273972628</v>
      </c>
      <c r="M105" s="3">
        <f>+(Tabla1[[#This Row],[Tmin media (°C)]]-Tabla1[[#This Row],[Tmin media (°C) historica]])/Tabla1[[#This Row],[Tmin media (°C) historica]]*100</f>
        <v>25.641025641025657</v>
      </c>
      <c r="N105" s="3">
        <f>+(Tabla1[[#This Row],[Tmedia media (°C)]]-Tabla1[[#This Row],[Tmedia media (°C) historica]])/Tabla1[[#This Row],[Tmedia media (°C) historica]]*100</f>
        <v>4.2105263157894779</v>
      </c>
      <c r="O105" s="3">
        <f>+(Tabla1[[#This Row],[Prec acum (mm)]]-Tabla1[[#This Row],[Prec acum (mm) historica]])/Tabla1[[#This Row],[Prec acum (mm) historica]]*100</f>
        <v>69.387755102040813</v>
      </c>
    </row>
    <row r="106" spans="1:15" hidden="1" x14ac:dyDescent="0.25">
      <c r="A106">
        <v>2002</v>
      </c>
      <c r="B106" t="s">
        <v>15</v>
      </c>
      <c r="C106" t="s">
        <v>23</v>
      </c>
      <c r="D106" s="6">
        <v>14.6</v>
      </c>
      <c r="E106" s="6">
        <v>3.9</v>
      </c>
      <c r="F106" s="6">
        <v>9.5</v>
      </c>
      <c r="G106" s="6">
        <v>49</v>
      </c>
      <c r="H106" s="10">
        <v>14.2</v>
      </c>
      <c r="I106" s="10">
        <v>6</v>
      </c>
      <c r="J106" s="10">
        <v>10.1</v>
      </c>
      <c r="K106" s="10">
        <v>88</v>
      </c>
      <c r="L106" s="4">
        <f>+(Tabla1[[#This Row],[Tmax media (°C)]]-Tabla1[[#This Row],[Tmax media (°C) historica]])/Tabla1[[#This Row],[Tmax media (°C) historica]]*100</f>
        <v>-2.7397260273972628</v>
      </c>
      <c r="M106" s="4">
        <f>+(Tabla1[[#This Row],[Tmin media (°C)]]-Tabla1[[#This Row],[Tmin media (°C) historica]])/Tabla1[[#This Row],[Tmin media (°C) historica]]*100</f>
        <v>53.846153846153854</v>
      </c>
      <c r="N106" s="4">
        <f>+(Tabla1[[#This Row],[Tmedia media (°C)]]-Tabla1[[#This Row],[Tmedia media (°C) historica]])/Tabla1[[#This Row],[Tmedia media (°C) historica]]*100</f>
        <v>6.3157894736842062</v>
      </c>
      <c r="O106" s="4">
        <f>+(Tabla1[[#This Row],[Prec acum (mm)]]-Tabla1[[#This Row],[Prec acum (mm) historica]])/Tabla1[[#This Row],[Prec acum (mm) historica]]*100</f>
        <v>79.591836734693871</v>
      </c>
    </row>
    <row r="107" spans="1:15" hidden="1" x14ac:dyDescent="0.25">
      <c r="A107">
        <v>2004</v>
      </c>
      <c r="B107" t="s">
        <v>15</v>
      </c>
      <c r="C107" t="s">
        <v>23</v>
      </c>
      <c r="D107" s="6">
        <v>14.6</v>
      </c>
      <c r="E107" s="6">
        <v>3.9</v>
      </c>
      <c r="F107" s="6">
        <v>9.5</v>
      </c>
      <c r="G107" s="6">
        <v>49</v>
      </c>
      <c r="H107" s="10">
        <v>13.7</v>
      </c>
      <c r="I107" s="10">
        <v>4.9000000000000004</v>
      </c>
      <c r="J107" s="10">
        <v>9.3000000000000007</v>
      </c>
      <c r="K107" s="10">
        <v>104</v>
      </c>
      <c r="L107" s="3">
        <f>+(Tabla1[[#This Row],[Tmax media (°C)]]-Tabla1[[#This Row],[Tmax media (°C) historica]])/Tabla1[[#This Row],[Tmax media (°C) historica]]*100</f>
        <v>-6.164383561643838</v>
      </c>
      <c r="M107" s="3">
        <f>+(Tabla1[[#This Row],[Tmin media (°C)]]-Tabla1[[#This Row],[Tmin media (°C) historica]])/Tabla1[[#This Row],[Tmin media (°C) historica]]*100</f>
        <v>25.641025641025657</v>
      </c>
      <c r="N107" s="3">
        <f>+(Tabla1[[#This Row],[Tmedia media (°C)]]-Tabla1[[#This Row],[Tmedia media (°C) historica]])/Tabla1[[#This Row],[Tmedia media (°C) historica]]*100</f>
        <v>-2.1052631578947296</v>
      </c>
      <c r="O107" s="3">
        <f>+(Tabla1[[#This Row],[Prec acum (mm)]]-Tabla1[[#This Row],[Prec acum (mm) historica]])/Tabla1[[#This Row],[Prec acum (mm) historica]]*100</f>
        <v>112.24489795918366</v>
      </c>
    </row>
    <row r="108" spans="1:15" hidden="1" x14ac:dyDescent="0.25">
      <c r="A108">
        <v>2015</v>
      </c>
      <c r="B108" t="s">
        <v>15</v>
      </c>
      <c r="C108" t="s">
        <v>23</v>
      </c>
      <c r="D108" s="6">
        <v>14.6</v>
      </c>
      <c r="E108" s="6">
        <v>3.9</v>
      </c>
      <c r="F108" s="6">
        <v>9.5</v>
      </c>
      <c r="G108" s="6">
        <v>49</v>
      </c>
      <c r="H108" s="10">
        <v>15.7</v>
      </c>
      <c r="I108" s="10">
        <v>6.5</v>
      </c>
      <c r="J108" s="10">
        <v>11.1</v>
      </c>
      <c r="K108" s="10">
        <v>148</v>
      </c>
      <c r="L108" s="4">
        <f>+(Tabla1[[#This Row],[Tmax media (°C)]]-Tabla1[[#This Row],[Tmax media (°C) historica]])/Tabla1[[#This Row],[Tmax media (°C) historica]]*100</f>
        <v>7.5342465753424639</v>
      </c>
      <c r="M108" s="4">
        <f>+(Tabla1[[#This Row],[Tmin media (°C)]]-Tabla1[[#This Row],[Tmin media (°C) historica]])/Tabla1[[#This Row],[Tmin media (°C) historica]]*100</f>
        <v>66.666666666666671</v>
      </c>
      <c r="N108" s="4">
        <f>+(Tabla1[[#This Row],[Tmedia media (°C)]]-Tabla1[[#This Row],[Tmedia media (°C) historica]])/Tabla1[[#This Row],[Tmedia media (°C) historica]]*100</f>
        <v>16.84210526315789</v>
      </c>
      <c r="O108" s="4">
        <f>+(Tabla1[[#This Row],[Prec acum (mm)]]-Tabla1[[#This Row],[Prec acum (mm) historica]])/Tabla1[[#This Row],[Prec acum (mm) historica]]*100</f>
        <v>202.0408163265306</v>
      </c>
    </row>
    <row r="109" spans="1:15" hidden="1" x14ac:dyDescent="0.25">
      <c r="A109">
        <v>2023</v>
      </c>
      <c r="B109" t="s">
        <v>15</v>
      </c>
      <c r="C109" t="s">
        <v>23</v>
      </c>
      <c r="D109" s="6">
        <v>14.6</v>
      </c>
      <c r="E109" s="6">
        <v>3.9</v>
      </c>
      <c r="F109" s="6">
        <v>9.5</v>
      </c>
      <c r="G109" s="6">
        <v>49</v>
      </c>
      <c r="H109" s="10">
        <v>14.9</v>
      </c>
      <c r="I109" s="10">
        <v>3.8</v>
      </c>
      <c r="J109" s="10">
        <v>9.3000000000000007</v>
      </c>
      <c r="K109" s="10">
        <v>37</v>
      </c>
      <c r="L109" s="3">
        <f>+(Tabla1[[#This Row],[Tmax media (°C)]]-Tabla1[[#This Row],[Tmax media (°C) historica]])/Tabla1[[#This Row],[Tmax media (°C) historica]]*100</f>
        <v>2.0547945205479503</v>
      </c>
      <c r="M109" s="3">
        <f>+(Tabla1[[#This Row],[Tmin media (°C)]]-Tabla1[[#This Row],[Tmin media (°C) historica]])/Tabla1[[#This Row],[Tmin media (°C) historica]]*100</f>
        <v>-2.5641025641025665</v>
      </c>
      <c r="N109" s="3">
        <f>+(Tabla1[[#This Row],[Tmedia media (°C)]]-Tabla1[[#This Row],[Tmedia media (°C) historica]])/Tabla1[[#This Row],[Tmedia media (°C) historica]]*100</f>
        <v>-2.1052631578947296</v>
      </c>
      <c r="O109" s="3">
        <f>+(Tabla1[[#This Row],[Prec acum (mm)]]-Tabla1[[#This Row],[Prec acum (mm) historica]])/Tabla1[[#This Row],[Prec acum (mm) historica]]*100</f>
        <v>-24.489795918367346</v>
      </c>
    </row>
    <row r="110" spans="1:15" hidden="1" x14ac:dyDescent="0.25">
      <c r="A110">
        <v>1982</v>
      </c>
      <c r="B110" t="s">
        <v>15</v>
      </c>
      <c r="C110" t="s">
        <v>24</v>
      </c>
      <c r="D110" s="6">
        <v>16.2</v>
      </c>
      <c r="E110" s="6">
        <v>5.2</v>
      </c>
      <c r="F110" s="6">
        <v>10.8</v>
      </c>
      <c r="G110" s="6">
        <v>38</v>
      </c>
      <c r="H110" s="10">
        <v>16.100000000000001</v>
      </c>
      <c r="I110" s="10">
        <v>7.5</v>
      </c>
      <c r="J110" s="10">
        <v>11.8</v>
      </c>
      <c r="K110" s="10">
        <v>100</v>
      </c>
      <c r="L110" s="3">
        <f>+(Tabla1[[#This Row],[Tmax media (°C)]]-Tabla1[[#This Row],[Tmax media (°C) historica]])/Tabla1[[#This Row],[Tmax media (°C) historica]]*100</f>
        <v>-0.61728395061727082</v>
      </c>
      <c r="M110" s="3">
        <f>+(Tabla1[[#This Row],[Tmin media (°C)]]-Tabla1[[#This Row],[Tmin media (°C) historica]])/Tabla1[[#This Row],[Tmin media (°C) historica]]*100</f>
        <v>44.230769230769226</v>
      </c>
      <c r="N110" s="3">
        <f>+(Tabla1[[#This Row],[Tmedia media (°C)]]-Tabla1[[#This Row],[Tmedia media (°C) historica]])/Tabla1[[#This Row],[Tmedia media (°C) historica]]*100</f>
        <v>9.2592592592592595</v>
      </c>
      <c r="O110" s="3">
        <f>+(Tabla1[[#This Row],[Prec acum (mm)]]-Tabla1[[#This Row],[Prec acum (mm) historica]])/Tabla1[[#This Row],[Prec acum (mm) historica]]*100</f>
        <v>163.15789473684211</v>
      </c>
    </row>
    <row r="111" spans="1:15" hidden="1" x14ac:dyDescent="0.25">
      <c r="A111">
        <v>1987</v>
      </c>
      <c r="B111" t="s">
        <v>15</v>
      </c>
      <c r="C111" t="s">
        <v>24</v>
      </c>
      <c r="D111" s="6">
        <v>16.2</v>
      </c>
      <c r="E111" s="6">
        <v>5.2</v>
      </c>
      <c r="F111" s="6">
        <v>10.8</v>
      </c>
      <c r="G111" s="6">
        <v>38</v>
      </c>
      <c r="H111" s="10">
        <v>14.9</v>
      </c>
      <c r="I111" s="10">
        <v>2.9</v>
      </c>
      <c r="J111" s="10">
        <v>8.9</v>
      </c>
      <c r="K111" s="10">
        <v>28</v>
      </c>
      <c r="L111" s="4">
        <f>+(Tabla1[[#This Row],[Tmax media (°C)]]-Tabla1[[#This Row],[Tmax media (°C) historica]])/Tabla1[[#This Row],[Tmax media (°C) historica]]*100</f>
        <v>-8.0246913580246861</v>
      </c>
      <c r="M111" s="4">
        <f>+(Tabla1[[#This Row],[Tmin media (°C)]]-Tabla1[[#This Row],[Tmin media (°C) historica]])/Tabla1[[#This Row],[Tmin media (°C) historica]]*100</f>
        <v>-44.230769230769234</v>
      </c>
      <c r="N111" s="4">
        <f>+(Tabla1[[#This Row],[Tmedia media (°C)]]-Tabla1[[#This Row],[Tmedia media (°C) historica]])/Tabla1[[#This Row],[Tmedia media (°C) historica]]*100</f>
        <v>-17.592592592592595</v>
      </c>
      <c r="O111" s="4">
        <f>+(Tabla1[[#This Row],[Prec acum (mm)]]-Tabla1[[#This Row],[Prec acum (mm) historica]])/Tabla1[[#This Row],[Prec acum (mm) historica]]*100</f>
        <v>-26.315789473684209</v>
      </c>
    </row>
    <row r="112" spans="1:15" hidden="1" x14ac:dyDescent="0.25">
      <c r="A112">
        <v>1991</v>
      </c>
      <c r="B112" t="s">
        <v>15</v>
      </c>
      <c r="C112" t="s">
        <v>24</v>
      </c>
      <c r="D112" s="6">
        <v>16.100000000000001</v>
      </c>
      <c r="E112" s="6">
        <v>5.3</v>
      </c>
      <c r="F112" s="6">
        <v>10.6</v>
      </c>
      <c r="G112" s="6">
        <v>56</v>
      </c>
      <c r="H112" s="10">
        <v>16.5</v>
      </c>
      <c r="I112" s="10">
        <v>6.8</v>
      </c>
      <c r="J112" s="10">
        <v>11.7</v>
      </c>
      <c r="K112" s="10">
        <v>72</v>
      </c>
      <c r="L112" s="3">
        <f>+(Tabla1[[#This Row],[Tmax media (°C)]]-Tabla1[[#This Row],[Tmax media (°C) historica]])/Tabla1[[#This Row],[Tmax media (°C) historica]]*100</f>
        <v>2.4844720496894319</v>
      </c>
      <c r="M112" s="3">
        <f>+(Tabla1[[#This Row],[Tmin media (°C)]]-Tabla1[[#This Row],[Tmin media (°C) historica]])/Tabla1[[#This Row],[Tmin media (°C) historica]]*100</f>
        <v>28.30188679245283</v>
      </c>
      <c r="N112" s="3">
        <f>+(Tabla1[[#This Row],[Tmedia media (°C)]]-Tabla1[[#This Row],[Tmedia media (°C) historica]])/Tabla1[[#This Row],[Tmedia media (°C) historica]]*100</f>
        <v>10.377358490566033</v>
      </c>
      <c r="O112" s="3">
        <f>+(Tabla1[[#This Row],[Prec acum (mm)]]-Tabla1[[#This Row],[Prec acum (mm) historica]])/Tabla1[[#This Row],[Prec acum (mm) historica]]*100</f>
        <v>28.571428571428569</v>
      </c>
    </row>
    <row r="113" spans="1:15" hidden="1" x14ac:dyDescent="0.25">
      <c r="A113">
        <v>1994</v>
      </c>
      <c r="B113" t="s">
        <v>15</v>
      </c>
      <c r="C113" t="s">
        <v>24</v>
      </c>
      <c r="D113" s="6">
        <v>16.100000000000001</v>
      </c>
      <c r="E113" s="6">
        <v>5.3</v>
      </c>
      <c r="F113" s="6">
        <v>10.6</v>
      </c>
      <c r="G113" s="6">
        <v>56</v>
      </c>
      <c r="H113" s="10">
        <v>16</v>
      </c>
      <c r="I113" s="10">
        <v>5.9</v>
      </c>
      <c r="J113" s="10">
        <v>11</v>
      </c>
      <c r="K113" s="10">
        <v>75</v>
      </c>
      <c r="L113" s="4">
        <f>+(Tabla1[[#This Row],[Tmax media (°C)]]-Tabla1[[#This Row],[Tmax media (°C) historica]])/Tabla1[[#This Row],[Tmax media (°C) historica]]*100</f>
        <v>-0.62111801242236908</v>
      </c>
      <c r="M113" s="4">
        <f>+(Tabla1[[#This Row],[Tmin media (°C)]]-Tabla1[[#This Row],[Tmin media (°C) historica]])/Tabla1[[#This Row],[Tmin media (°C) historica]]*100</f>
        <v>11.320754716981142</v>
      </c>
      <c r="N113" s="4">
        <f>+(Tabla1[[#This Row],[Tmedia media (°C)]]-Tabla1[[#This Row],[Tmedia media (°C) historica]])/Tabla1[[#This Row],[Tmedia media (°C) historica]]*100</f>
        <v>3.7735849056603805</v>
      </c>
      <c r="O113" s="4">
        <f>+(Tabla1[[#This Row],[Prec acum (mm)]]-Tabla1[[#This Row],[Prec acum (mm) historica]])/Tabla1[[#This Row],[Prec acum (mm) historica]]*100</f>
        <v>33.928571428571431</v>
      </c>
    </row>
    <row r="114" spans="1:15" hidden="1" x14ac:dyDescent="0.25">
      <c r="A114">
        <v>1997</v>
      </c>
      <c r="B114" t="s">
        <v>15</v>
      </c>
      <c r="C114" t="s">
        <v>24</v>
      </c>
      <c r="D114" s="6">
        <v>16.100000000000001</v>
      </c>
      <c r="E114" s="6">
        <v>5.3</v>
      </c>
      <c r="F114" s="6">
        <v>10.6</v>
      </c>
      <c r="G114" s="6">
        <v>56</v>
      </c>
      <c r="H114" s="10">
        <v>15.1</v>
      </c>
      <c r="I114" s="10">
        <v>4.3</v>
      </c>
      <c r="J114" s="10">
        <v>9.6999999999999993</v>
      </c>
      <c r="K114" s="10">
        <v>38</v>
      </c>
      <c r="L114" s="3">
        <f>+(Tabla1[[#This Row],[Tmax media (°C)]]-Tabla1[[#This Row],[Tmax media (°C) historica]])/Tabla1[[#This Row],[Tmax media (°C) historica]]*100</f>
        <v>-6.2111801242236124</v>
      </c>
      <c r="M114" s="3">
        <f>+(Tabla1[[#This Row],[Tmin media (°C)]]-Tabla1[[#This Row],[Tmin media (°C) historica]])/Tabla1[[#This Row],[Tmin media (°C) historica]]*100</f>
        <v>-18.867924528301888</v>
      </c>
      <c r="N114" s="3">
        <f>+(Tabla1[[#This Row],[Tmedia media (°C)]]-Tabla1[[#This Row],[Tmedia media (°C) historica]])/Tabla1[[#This Row],[Tmedia media (°C) historica]]*100</f>
        <v>-8.4905660377358529</v>
      </c>
      <c r="O114" s="3">
        <f>+(Tabla1[[#This Row],[Prec acum (mm)]]-Tabla1[[#This Row],[Prec acum (mm) historica]])/Tabla1[[#This Row],[Prec acum (mm) historica]]*100</f>
        <v>-32.142857142857146</v>
      </c>
    </row>
    <row r="115" spans="1:15" hidden="1" x14ac:dyDescent="0.25">
      <c r="A115">
        <v>2002</v>
      </c>
      <c r="B115" t="s">
        <v>15</v>
      </c>
      <c r="C115" t="s">
        <v>24</v>
      </c>
      <c r="D115" s="6">
        <v>16.100000000000001</v>
      </c>
      <c r="E115" s="6">
        <v>5.3</v>
      </c>
      <c r="F115" s="6">
        <v>10.6</v>
      </c>
      <c r="G115" s="6">
        <v>56</v>
      </c>
      <c r="H115" s="10">
        <v>14.7</v>
      </c>
      <c r="I115" s="10">
        <v>5.2</v>
      </c>
      <c r="J115" s="10">
        <v>9.9</v>
      </c>
      <c r="K115" s="10">
        <v>121</v>
      </c>
      <c r="L115" s="4">
        <f>+(Tabla1[[#This Row],[Tmax media (°C)]]-Tabla1[[#This Row],[Tmax media (°C) historica]])/Tabla1[[#This Row],[Tmax media (°C) historica]]*100</f>
        <v>-8.6956521739130554</v>
      </c>
      <c r="M115" s="4">
        <f>+(Tabla1[[#This Row],[Tmin media (°C)]]-Tabla1[[#This Row],[Tmin media (°C) historica]])/Tabla1[[#This Row],[Tmin media (°C) historica]]*100</f>
        <v>-1.886792452830182</v>
      </c>
      <c r="N115" s="4">
        <f>+(Tabla1[[#This Row],[Tmedia media (°C)]]-Tabla1[[#This Row],[Tmedia media (°C) historica]])/Tabla1[[#This Row],[Tmedia media (°C) historica]]*100</f>
        <v>-6.6037735849056531</v>
      </c>
      <c r="O115" s="4">
        <f>+(Tabla1[[#This Row],[Prec acum (mm)]]-Tabla1[[#This Row],[Prec acum (mm) historica]])/Tabla1[[#This Row],[Prec acum (mm) historica]]*100</f>
        <v>116.07142857142858</v>
      </c>
    </row>
    <row r="116" spans="1:15" hidden="1" x14ac:dyDescent="0.25">
      <c r="A116">
        <v>2004</v>
      </c>
      <c r="B116" t="s">
        <v>15</v>
      </c>
      <c r="C116" t="s">
        <v>24</v>
      </c>
      <c r="D116" s="6">
        <v>16.100000000000001</v>
      </c>
      <c r="E116" s="6">
        <v>5.3</v>
      </c>
      <c r="F116" s="6">
        <v>10.6</v>
      </c>
      <c r="G116" s="6">
        <v>56</v>
      </c>
      <c r="H116" s="10">
        <v>17.2</v>
      </c>
      <c r="I116" s="10">
        <v>4.5999999999999996</v>
      </c>
      <c r="J116" s="10">
        <v>10.9</v>
      </c>
      <c r="K116" s="10">
        <v>34</v>
      </c>
      <c r="L116" s="3">
        <f>+(Tabla1[[#This Row],[Tmax media (°C)]]-Tabla1[[#This Row],[Tmax media (°C) historica]])/Tabla1[[#This Row],[Tmax media (°C) historica]]*100</f>
        <v>6.8322981366459494</v>
      </c>
      <c r="M116" s="3">
        <f>+(Tabla1[[#This Row],[Tmin media (°C)]]-Tabla1[[#This Row],[Tmin media (°C) historica]])/Tabla1[[#This Row],[Tmin media (°C) historica]]*100</f>
        <v>-13.207547169811324</v>
      </c>
      <c r="N116" s="3">
        <f>+(Tabla1[[#This Row],[Tmedia media (°C)]]-Tabla1[[#This Row],[Tmedia media (°C) historica]])/Tabla1[[#This Row],[Tmedia media (°C) historica]]*100</f>
        <v>2.8301886792452895</v>
      </c>
      <c r="O116" s="3">
        <f>+(Tabla1[[#This Row],[Prec acum (mm)]]-Tabla1[[#This Row],[Prec acum (mm) historica]])/Tabla1[[#This Row],[Prec acum (mm) historica]]*100</f>
        <v>-39.285714285714285</v>
      </c>
    </row>
    <row r="117" spans="1:15" hidden="1" x14ac:dyDescent="0.25">
      <c r="A117">
        <v>2015</v>
      </c>
      <c r="B117" t="s">
        <v>15</v>
      </c>
      <c r="C117" t="s">
        <v>24</v>
      </c>
      <c r="D117" s="6">
        <v>16.100000000000001</v>
      </c>
      <c r="E117" s="6">
        <v>5.3</v>
      </c>
      <c r="F117" s="6">
        <v>10.6</v>
      </c>
      <c r="G117" s="6">
        <v>56</v>
      </c>
      <c r="H117" s="10">
        <v>16.2</v>
      </c>
      <c r="I117" s="10">
        <v>4.4000000000000004</v>
      </c>
      <c r="J117" s="10">
        <v>10.3</v>
      </c>
      <c r="K117" s="10">
        <v>12</v>
      </c>
      <c r="L117" s="4">
        <f>+(Tabla1[[#This Row],[Tmax media (°C)]]-Tabla1[[#This Row],[Tmax media (°C) historica]])/Tabla1[[#This Row],[Tmax media (°C) historica]]*100</f>
        <v>0.62111801242234699</v>
      </c>
      <c r="M117" s="4">
        <f>+(Tabla1[[#This Row],[Tmin media (°C)]]-Tabla1[[#This Row],[Tmin media (°C) historica]])/Tabla1[[#This Row],[Tmin media (°C) historica]]*100</f>
        <v>-16.981132075471688</v>
      </c>
      <c r="N117" s="4">
        <f>+(Tabla1[[#This Row],[Tmedia media (°C)]]-Tabla1[[#This Row],[Tmedia media (°C) historica]])/Tabla1[[#This Row],[Tmedia media (°C) historica]]*100</f>
        <v>-2.8301886792452731</v>
      </c>
      <c r="O117" s="4">
        <f>+(Tabla1[[#This Row],[Prec acum (mm)]]-Tabla1[[#This Row],[Prec acum (mm) historica]])/Tabla1[[#This Row],[Prec acum (mm) historica]]*100</f>
        <v>-78.571428571428569</v>
      </c>
    </row>
    <row r="118" spans="1:15" hidden="1" x14ac:dyDescent="0.25">
      <c r="A118">
        <v>2023</v>
      </c>
      <c r="B118" t="s">
        <v>15</v>
      </c>
      <c r="C118" t="s">
        <v>24</v>
      </c>
      <c r="D118" s="6">
        <v>16.100000000000001</v>
      </c>
      <c r="E118" s="6">
        <v>5.3</v>
      </c>
      <c r="F118" s="6">
        <v>10.6</v>
      </c>
      <c r="G118" s="6">
        <v>56</v>
      </c>
      <c r="H118" s="10">
        <v>15.2</v>
      </c>
      <c r="I118" s="10">
        <v>5.2</v>
      </c>
      <c r="J118" s="10">
        <v>10.199999999999999</v>
      </c>
      <c r="K118" s="10">
        <v>35</v>
      </c>
      <c r="L118" s="3">
        <f>+(Tabla1[[#This Row],[Tmax media (°C)]]-Tabla1[[#This Row],[Tmax media (°C) historica]])/Tabla1[[#This Row],[Tmax media (°C) historica]]*100</f>
        <v>-5.590062111801255</v>
      </c>
      <c r="M118" s="3">
        <f>+(Tabla1[[#This Row],[Tmin media (°C)]]-Tabla1[[#This Row],[Tmin media (°C) historica]])/Tabla1[[#This Row],[Tmin media (°C) historica]]*100</f>
        <v>-1.886792452830182</v>
      </c>
      <c r="N118" s="3">
        <f>+(Tabla1[[#This Row],[Tmedia media (°C)]]-Tabla1[[#This Row],[Tmedia media (°C) historica]])/Tabla1[[#This Row],[Tmedia media (°C) historica]]*100</f>
        <v>-3.7735849056603805</v>
      </c>
      <c r="O118" s="3">
        <f>+(Tabla1[[#This Row],[Prec acum (mm)]]-Tabla1[[#This Row],[Prec acum (mm) historica]])/Tabla1[[#This Row],[Prec acum (mm) historica]]*100</f>
        <v>-37.5</v>
      </c>
    </row>
    <row r="119" spans="1:15" hidden="1" x14ac:dyDescent="0.25">
      <c r="A119">
        <v>1982</v>
      </c>
      <c r="B119" t="s">
        <v>15</v>
      </c>
      <c r="C119" t="s">
        <v>25</v>
      </c>
      <c r="D119" s="6">
        <v>18.600000000000001</v>
      </c>
      <c r="E119" s="6">
        <v>7.9</v>
      </c>
      <c r="F119" s="6">
        <v>13.2</v>
      </c>
      <c r="G119" s="6">
        <v>80</v>
      </c>
      <c r="H119" s="10">
        <v>20.100000000000001</v>
      </c>
      <c r="I119" s="10">
        <v>7.3</v>
      </c>
      <c r="J119" s="10">
        <v>13.7</v>
      </c>
      <c r="K119" s="10">
        <v>124</v>
      </c>
      <c r="L119" s="3">
        <f>+(Tabla1[[#This Row],[Tmax media (°C)]]-Tabla1[[#This Row],[Tmax media (°C) historica]])/Tabla1[[#This Row],[Tmax media (°C) historica]]*100</f>
        <v>8.064516129032258</v>
      </c>
      <c r="M119" s="3">
        <f>+(Tabla1[[#This Row],[Tmin media (°C)]]-Tabla1[[#This Row],[Tmin media (°C) historica]])/Tabla1[[#This Row],[Tmin media (°C) historica]]*100</f>
        <v>-7.5949367088607653</v>
      </c>
      <c r="N119" s="3">
        <f>+(Tabla1[[#This Row],[Tmedia media (°C)]]-Tabla1[[#This Row],[Tmedia media (°C) historica]])/Tabla1[[#This Row],[Tmedia media (°C) historica]]*100</f>
        <v>3.7878787878787881</v>
      </c>
      <c r="O119" s="3">
        <f>+(Tabla1[[#This Row],[Prec acum (mm)]]-Tabla1[[#This Row],[Prec acum (mm) historica]])/Tabla1[[#This Row],[Prec acum (mm) historica]]*100</f>
        <v>55.000000000000007</v>
      </c>
    </row>
    <row r="120" spans="1:15" hidden="1" x14ac:dyDescent="0.25">
      <c r="A120">
        <v>1987</v>
      </c>
      <c r="B120" t="s">
        <v>15</v>
      </c>
      <c r="C120" t="s">
        <v>25</v>
      </c>
      <c r="D120" s="6">
        <v>18.600000000000001</v>
      </c>
      <c r="E120" s="6">
        <v>7.9</v>
      </c>
      <c r="F120" s="6">
        <v>13.2</v>
      </c>
      <c r="G120" s="6">
        <v>80</v>
      </c>
      <c r="H120" s="10">
        <v>17.399999999999999</v>
      </c>
      <c r="I120" s="10">
        <v>7.9</v>
      </c>
      <c r="J120" s="10">
        <v>12.6</v>
      </c>
      <c r="K120" s="10">
        <v>126</v>
      </c>
      <c r="L120" s="4">
        <f>+(Tabla1[[#This Row],[Tmax media (°C)]]-Tabla1[[#This Row],[Tmax media (°C) historica]])/Tabla1[[#This Row],[Tmax media (°C) historica]]*100</f>
        <v>-6.4516129032258211</v>
      </c>
      <c r="M120" s="4">
        <f>+(Tabla1[[#This Row],[Tmin media (°C)]]-Tabla1[[#This Row],[Tmin media (°C) historica]])/Tabla1[[#This Row],[Tmin media (°C) historica]]*100</f>
        <v>0</v>
      </c>
      <c r="N120" s="4">
        <f>+(Tabla1[[#This Row],[Tmedia media (°C)]]-Tabla1[[#This Row],[Tmedia media (°C) historica]])/Tabla1[[#This Row],[Tmedia media (°C) historica]]*100</f>
        <v>-4.5454545454545432</v>
      </c>
      <c r="O120" s="4">
        <f>+(Tabla1[[#This Row],[Prec acum (mm)]]-Tabla1[[#This Row],[Prec acum (mm) historica]])/Tabla1[[#This Row],[Prec acum (mm) historica]]*100</f>
        <v>57.499999999999993</v>
      </c>
    </row>
    <row r="121" spans="1:15" hidden="1" x14ac:dyDescent="0.25">
      <c r="A121">
        <v>1991</v>
      </c>
      <c r="B121" t="s">
        <v>15</v>
      </c>
      <c r="C121" t="s">
        <v>25</v>
      </c>
      <c r="D121" s="6">
        <v>18.600000000000001</v>
      </c>
      <c r="E121" s="6">
        <v>8</v>
      </c>
      <c r="F121" s="6">
        <v>13.4</v>
      </c>
      <c r="G121" s="6">
        <v>72</v>
      </c>
      <c r="H121" s="10">
        <v>17.7</v>
      </c>
      <c r="I121" s="10">
        <v>7.7</v>
      </c>
      <c r="J121" s="10">
        <v>12.7</v>
      </c>
      <c r="K121" s="10">
        <v>188</v>
      </c>
      <c r="L121" s="3">
        <f>+(Tabla1[[#This Row],[Tmax media (°C)]]-Tabla1[[#This Row],[Tmax media (°C) historica]])/Tabla1[[#This Row],[Tmax media (°C) historica]]*100</f>
        <v>-4.8387096774193656</v>
      </c>
      <c r="M121" s="3">
        <f>+(Tabla1[[#This Row],[Tmin media (°C)]]-Tabla1[[#This Row],[Tmin media (°C) historica]])/Tabla1[[#This Row],[Tmin media (°C) historica]]*100</f>
        <v>-3.7499999999999978</v>
      </c>
      <c r="N121" s="3">
        <f>+(Tabla1[[#This Row],[Tmedia media (°C)]]-Tabla1[[#This Row],[Tmedia media (°C) historica]])/Tabla1[[#This Row],[Tmedia media (°C) historica]]*100</f>
        <v>-5.2238805970149338</v>
      </c>
      <c r="O121" s="3">
        <f>+(Tabla1[[#This Row],[Prec acum (mm)]]-Tabla1[[#This Row],[Prec acum (mm) historica]])/Tabla1[[#This Row],[Prec acum (mm) historica]]*100</f>
        <v>161.11111111111111</v>
      </c>
    </row>
    <row r="122" spans="1:15" hidden="1" x14ac:dyDescent="0.25">
      <c r="A122">
        <v>1994</v>
      </c>
      <c r="B122" t="s">
        <v>15</v>
      </c>
      <c r="C122" t="s">
        <v>25</v>
      </c>
      <c r="D122" s="6">
        <v>18.600000000000001</v>
      </c>
      <c r="E122" s="6">
        <v>8</v>
      </c>
      <c r="F122" s="6">
        <v>13.4</v>
      </c>
      <c r="G122" s="6">
        <v>72</v>
      </c>
      <c r="H122" s="10">
        <v>17.3</v>
      </c>
      <c r="I122" s="10">
        <v>7.2</v>
      </c>
      <c r="J122" s="10">
        <v>12.3</v>
      </c>
      <c r="K122" s="10">
        <v>159</v>
      </c>
      <c r="L122" s="4">
        <f>+(Tabla1[[#This Row],[Tmax media (°C)]]-Tabla1[[#This Row],[Tmax media (°C) historica]])/Tabla1[[#This Row],[Tmax media (°C) historica]]*100</f>
        <v>-6.9892473118279606</v>
      </c>
      <c r="M122" s="4">
        <f>+(Tabla1[[#This Row],[Tmin media (°C)]]-Tabla1[[#This Row],[Tmin media (°C) historica]])/Tabla1[[#This Row],[Tmin media (°C) historica]]*100</f>
        <v>-9.9999999999999982</v>
      </c>
      <c r="N122" s="4">
        <f>+(Tabla1[[#This Row],[Tmedia media (°C)]]-Tabla1[[#This Row],[Tmedia media (°C) historica]])/Tabla1[[#This Row],[Tmedia media (°C) historica]]*100</f>
        <v>-8.2089552238805936</v>
      </c>
      <c r="O122" s="4">
        <f>+(Tabla1[[#This Row],[Prec acum (mm)]]-Tabla1[[#This Row],[Prec acum (mm) historica]])/Tabla1[[#This Row],[Prec acum (mm) historica]]*100</f>
        <v>120.83333333333333</v>
      </c>
    </row>
    <row r="123" spans="1:15" hidden="1" x14ac:dyDescent="0.25">
      <c r="A123">
        <v>1997</v>
      </c>
      <c r="B123" t="s">
        <v>15</v>
      </c>
      <c r="C123" t="s">
        <v>25</v>
      </c>
      <c r="D123" s="6">
        <v>18.600000000000001</v>
      </c>
      <c r="E123" s="6">
        <v>8</v>
      </c>
      <c r="F123" s="6">
        <v>13.4</v>
      </c>
      <c r="G123" s="6">
        <v>72</v>
      </c>
      <c r="H123" s="10">
        <v>18.3</v>
      </c>
      <c r="I123" s="10">
        <v>8.6999999999999993</v>
      </c>
      <c r="J123" s="10">
        <v>13.5</v>
      </c>
      <c r="K123" s="10">
        <v>78</v>
      </c>
      <c r="L123" s="3">
        <f>+(Tabla1[[#This Row],[Tmax media (°C)]]-Tabla1[[#This Row],[Tmax media (°C) historica]])/Tabla1[[#This Row],[Tmax media (°C) historica]]*100</f>
        <v>-1.6129032258064553</v>
      </c>
      <c r="M123" s="3">
        <f>+(Tabla1[[#This Row],[Tmin media (°C)]]-Tabla1[[#This Row],[Tmin media (°C) historica]])/Tabla1[[#This Row],[Tmin media (°C) historica]]*100</f>
        <v>8.7499999999999911</v>
      </c>
      <c r="N123" s="3">
        <f>+(Tabla1[[#This Row],[Tmedia media (°C)]]-Tabla1[[#This Row],[Tmedia media (°C) historica]])/Tabla1[[#This Row],[Tmedia media (°C) historica]]*100</f>
        <v>0.74626865671641518</v>
      </c>
      <c r="O123" s="3">
        <f>+(Tabla1[[#This Row],[Prec acum (mm)]]-Tabla1[[#This Row],[Prec acum (mm) historica]])/Tabla1[[#This Row],[Prec acum (mm) historica]]*100</f>
        <v>8.3333333333333321</v>
      </c>
    </row>
    <row r="124" spans="1:15" hidden="1" x14ac:dyDescent="0.25">
      <c r="A124">
        <v>2002</v>
      </c>
      <c r="B124" t="s">
        <v>15</v>
      </c>
      <c r="C124" t="s">
        <v>25</v>
      </c>
      <c r="D124" s="6">
        <v>18.600000000000001</v>
      </c>
      <c r="E124" s="6">
        <v>8</v>
      </c>
      <c r="F124" s="6">
        <v>13.4</v>
      </c>
      <c r="G124" s="6">
        <v>72</v>
      </c>
      <c r="H124" s="10">
        <v>20.5</v>
      </c>
      <c r="I124" s="10">
        <v>9.3000000000000007</v>
      </c>
      <c r="J124" s="10">
        <v>14.9</v>
      </c>
      <c r="K124" s="10">
        <v>275</v>
      </c>
      <c r="L124" s="4">
        <f>+(Tabla1[[#This Row],[Tmax media (°C)]]-Tabla1[[#This Row],[Tmax media (°C) historica]])/Tabla1[[#This Row],[Tmax media (°C) historica]]*100</f>
        <v>10.215053763440851</v>
      </c>
      <c r="M124" s="4">
        <f>+(Tabla1[[#This Row],[Tmin media (°C)]]-Tabla1[[#This Row],[Tmin media (°C) historica]])/Tabla1[[#This Row],[Tmin media (°C) historica]]*100</f>
        <v>16.250000000000007</v>
      </c>
      <c r="N124" s="4">
        <f>+(Tabla1[[#This Row],[Tmedia media (°C)]]-Tabla1[[#This Row],[Tmedia media (°C) historica]])/Tabla1[[#This Row],[Tmedia media (°C) historica]]*100</f>
        <v>11.194029850746269</v>
      </c>
      <c r="O124" s="4">
        <f>+(Tabla1[[#This Row],[Prec acum (mm)]]-Tabla1[[#This Row],[Prec acum (mm) historica]])/Tabla1[[#This Row],[Prec acum (mm) historica]]*100</f>
        <v>281.94444444444446</v>
      </c>
    </row>
    <row r="125" spans="1:15" hidden="1" x14ac:dyDescent="0.25">
      <c r="A125">
        <v>2004</v>
      </c>
      <c r="B125" t="s">
        <v>15</v>
      </c>
      <c r="C125" t="s">
        <v>25</v>
      </c>
      <c r="D125" s="6">
        <v>18.600000000000001</v>
      </c>
      <c r="E125" s="6">
        <v>8</v>
      </c>
      <c r="F125" s="6">
        <v>13.4</v>
      </c>
      <c r="G125" s="6">
        <v>72</v>
      </c>
      <c r="H125" s="10">
        <v>19</v>
      </c>
      <c r="I125" s="10">
        <v>7.3</v>
      </c>
      <c r="J125" s="10">
        <v>13.1</v>
      </c>
      <c r="K125" s="10">
        <v>50</v>
      </c>
      <c r="L125" s="3">
        <f>+(Tabla1[[#This Row],[Tmax media (°C)]]-Tabla1[[#This Row],[Tmax media (°C) historica]])/Tabla1[[#This Row],[Tmax media (°C) historica]]*100</f>
        <v>2.1505376344085945</v>
      </c>
      <c r="M125" s="3">
        <f>+(Tabla1[[#This Row],[Tmin media (°C)]]-Tabla1[[#This Row],[Tmin media (°C) historica]])/Tabla1[[#This Row],[Tmin media (°C) historica]]*100</f>
        <v>-8.7500000000000018</v>
      </c>
      <c r="N125" s="3">
        <f>+(Tabla1[[#This Row],[Tmedia media (°C)]]-Tabla1[[#This Row],[Tmedia media (°C) historica]])/Tabla1[[#This Row],[Tmedia media (°C) historica]]*100</f>
        <v>-2.2388059701492589</v>
      </c>
      <c r="O125" s="3">
        <f>+(Tabla1[[#This Row],[Prec acum (mm)]]-Tabla1[[#This Row],[Prec acum (mm) historica]])/Tabla1[[#This Row],[Prec acum (mm) historica]]*100</f>
        <v>-30.555555555555557</v>
      </c>
    </row>
    <row r="126" spans="1:15" hidden="1" x14ac:dyDescent="0.25">
      <c r="A126">
        <v>2015</v>
      </c>
      <c r="B126" t="s">
        <v>15</v>
      </c>
      <c r="C126" t="s">
        <v>25</v>
      </c>
      <c r="D126" s="6">
        <v>18.600000000000001</v>
      </c>
      <c r="E126" s="6">
        <v>8</v>
      </c>
      <c r="F126" s="6">
        <v>13.4</v>
      </c>
      <c r="G126" s="6">
        <v>72</v>
      </c>
      <c r="H126" s="10">
        <v>15.4</v>
      </c>
      <c r="I126" s="10">
        <v>7.3</v>
      </c>
      <c r="J126" s="10">
        <v>11.4</v>
      </c>
      <c r="K126" s="10">
        <v>95</v>
      </c>
      <c r="L126" s="4">
        <f>+(Tabla1[[#This Row],[Tmax media (°C)]]-Tabla1[[#This Row],[Tmax media (°C) historica]])/Tabla1[[#This Row],[Tmax media (°C) historica]]*100</f>
        <v>-17.20430107526882</v>
      </c>
      <c r="M126" s="4">
        <f>+(Tabla1[[#This Row],[Tmin media (°C)]]-Tabla1[[#This Row],[Tmin media (°C) historica]])/Tabla1[[#This Row],[Tmin media (°C) historica]]*100</f>
        <v>-8.7500000000000018</v>
      </c>
      <c r="N126" s="4">
        <f>+(Tabla1[[#This Row],[Tmedia media (°C)]]-Tabla1[[#This Row],[Tmedia media (°C) historica]])/Tabla1[[#This Row],[Tmedia media (°C) historica]]*100</f>
        <v>-14.925373134328357</v>
      </c>
      <c r="O126" s="4">
        <f>+(Tabla1[[#This Row],[Prec acum (mm)]]-Tabla1[[#This Row],[Prec acum (mm) historica]])/Tabla1[[#This Row],[Prec acum (mm) historica]]*100</f>
        <v>31.944444444444443</v>
      </c>
    </row>
    <row r="127" spans="1:15" hidden="1" x14ac:dyDescent="0.25">
      <c r="A127">
        <v>2023</v>
      </c>
      <c r="B127" t="s">
        <v>15</v>
      </c>
      <c r="C127" t="s">
        <v>25</v>
      </c>
      <c r="D127" s="6">
        <v>18.600000000000001</v>
      </c>
      <c r="E127" s="6">
        <v>8</v>
      </c>
      <c r="F127" s="6">
        <v>13.4</v>
      </c>
      <c r="G127" s="6">
        <v>72</v>
      </c>
      <c r="H127" s="10">
        <v>19.2</v>
      </c>
      <c r="I127" s="10">
        <v>7.2</v>
      </c>
      <c r="J127" s="10">
        <v>13.2</v>
      </c>
      <c r="K127" s="10">
        <v>20</v>
      </c>
      <c r="L127" s="3">
        <f>+(Tabla1[[#This Row],[Tmax media (°C)]]-Tabla1[[#This Row],[Tmax media (°C) historica]])/Tabla1[[#This Row],[Tmax media (°C) historica]]*100</f>
        <v>3.2258064516128915</v>
      </c>
      <c r="M127" s="3">
        <f>+(Tabla1[[#This Row],[Tmin media (°C)]]-Tabla1[[#This Row],[Tmin media (°C) historica]])/Tabla1[[#This Row],[Tmin media (°C) historica]]*100</f>
        <v>-9.9999999999999982</v>
      </c>
      <c r="N127" s="3">
        <f>+(Tabla1[[#This Row],[Tmedia media (°C)]]-Tabla1[[#This Row],[Tmedia media (°C) historica]])/Tabla1[[#This Row],[Tmedia media (°C) historica]]*100</f>
        <v>-1.4925373134328437</v>
      </c>
      <c r="O127" s="3">
        <f>+(Tabla1[[#This Row],[Prec acum (mm)]]-Tabla1[[#This Row],[Prec acum (mm) historica]])/Tabla1[[#This Row],[Prec acum (mm) historica]]*100</f>
        <v>-72.222222222222214</v>
      </c>
    </row>
    <row r="128" spans="1:15" hidden="1" x14ac:dyDescent="0.25">
      <c r="A128">
        <v>1982</v>
      </c>
      <c r="B128" t="s">
        <v>15</v>
      </c>
      <c r="C128" t="s">
        <v>26</v>
      </c>
      <c r="D128" s="6">
        <v>21.8</v>
      </c>
      <c r="E128" s="6">
        <v>10.3</v>
      </c>
      <c r="F128" s="6">
        <v>16.3</v>
      </c>
      <c r="G128" s="6">
        <v>71</v>
      </c>
      <c r="H128" s="10">
        <v>20.3</v>
      </c>
      <c r="I128" s="10">
        <v>10</v>
      </c>
      <c r="J128" s="10">
        <v>15.1</v>
      </c>
      <c r="K128" s="10">
        <v>63</v>
      </c>
      <c r="L128" s="3">
        <f>+(Tabla1[[#This Row],[Tmax media (°C)]]-Tabla1[[#This Row],[Tmax media (°C) historica]])/Tabla1[[#This Row],[Tmax media (°C) historica]]*100</f>
        <v>-6.8807339449541285</v>
      </c>
      <c r="M128" s="3">
        <f>+(Tabla1[[#This Row],[Tmin media (°C)]]-Tabla1[[#This Row],[Tmin media (°C) historica]])/Tabla1[[#This Row],[Tmin media (°C) historica]]*100</f>
        <v>-2.9126213592233077</v>
      </c>
      <c r="N128" s="3">
        <f>+(Tabla1[[#This Row],[Tmedia media (°C)]]-Tabla1[[#This Row],[Tmedia media (°C) historica]])/Tabla1[[#This Row],[Tmedia media (°C) historica]]*100</f>
        <v>-7.3619631901840554</v>
      </c>
      <c r="O128" s="3">
        <f>+(Tabla1[[#This Row],[Prec acum (mm)]]-Tabla1[[#This Row],[Prec acum (mm) historica]])/Tabla1[[#This Row],[Prec acum (mm) historica]]*100</f>
        <v>-11.267605633802818</v>
      </c>
    </row>
    <row r="129" spans="1:15" hidden="1" x14ac:dyDescent="0.25">
      <c r="A129">
        <v>1987</v>
      </c>
      <c r="B129" t="s">
        <v>15</v>
      </c>
      <c r="C129" t="s">
        <v>26</v>
      </c>
      <c r="D129" s="6">
        <v>21.8</v>
      </c>
      <c r="E129" s="6">
        <v>10.3</v>
      </c>
      <c r="F129" s="6">
        <v>16.3</v>
      </c>
      <c r="G129" s="6">
        <v>71</v>
      </c>
      <c r="H129" s="10">
        <v>21.9</v>
      </c>
      <c r="I129" s="10">
        <v>11</v>
      </c>
      <c r="J129" s="10">
        <v>16.399999999999999</v>
      </c>
      <c r="K129" s="10">
        <v>31</v>
      </c>
      <c r="L129" s="4">
        <f>+(Tabla1[[#This Row],[Tmax media (°C)]]-Tabla1[[#This Row],[Tmax media (°C) historica]])/Tabla1[[#This Row],[Tmax media (°C) historica]]*100</f>
        <v>0.45871559633026543</v>
      </c>
      <c r="M129" s="4">
        <f>+(Tabla1[[#This Row],[Tmin media (°C)]]-Tabla1[[#This Row],[Tmin media (°C) historica]])/Tabla1[[#This Row],[Tmin media (°C) historica]]*100</f>
        <v>6.7961165048543615</v>
      </c>
      <c r="N129" s="4">
        <f>+(Tabla1[[#This Row],[Tmedia media (°C)]]-Tabla1[[#This Row],[Tmedia media (°C) historica]])/Tabla1[[#This Row],[Tmedia media (°C) historica]]*100</f>
        <v>0.61349693251532433</v>
      </c>
      <c r="O129" s="4">
        <f>+(Tabla1[[#This Row],[Prec acum (mm)]]-Tabla1[[#This Row],[Prec acum (mm) historica]])/Tabla1[[#This Row],[Prec acum (mm) historica]]*100</f>
        <v>-56.338028169014088</v>
      </c>
    </row>
    <row r="130" spans="1:15" hidden="1" x14ac:dyDescent="0.25">
      <c r="A130">
        <v>1991</v>
      </c>
      <c r="B130" t="s">
        <v>15</v>
      </c>
      <c r="C130" t="s">
        <v>26</v>
      </c>
      <c r="D130" s="6">
        <v>22</v>
      </c>
      <c r="E130" s="6">
        <v>10.3</v>
      </c>
      <c r="F130" s="6">
        <v>16.3</v>
      </c>
      <c r="G130" s="6">
        <v>72</v>
      </c>
      <c r="H130" s="10">
        <v>21.8</v>
      </c>
      <c r="I130" s="10">
        <v>11</v>
      </c>
      <c r="J130" s="10">
        <v>16.399999999999999</v>
      </c>
      <c r="K130" s="10">
        <v>45</v>
      </c>
      <c r="L130" s="3">
        <f>+(Tabla1[[#This Row],[Tmax media (°C)]]-Tabla1[[#This Row],[Tmax media (°C) historica]])/Tabla1[[#This Row],[Tmax media (°C) historica]]*100</f>
        <v>-0.90909090909090595</v>
      </c>
      <c r="M130" s="3">
        <f>+(Tabla1[[#This Row],[Tmin media (°C)]]-Tabla1[[#This Row],[Tmin media (°C) historica]])/Tabla1[[#This Row],[Tmin media (°C) historica]]*100</f>
        <v>6.7961165048543615</v>
      </c>
      <c r="N130" s="3">
        <f>+(Tabla1[[#This Row],[Tmedia media (°C)]]-Tabla1[[#This Row],[Tmedia media (°C) historica]])/Tabla1[[#This Row],[Tmedia media (°C) historica]]*100</f>
        <v>0.61349693251532433</v>
      </c>
      <c r="O130" s="3">
        <f>+(Tabla1[[#This Row],[Prec acum (mm)]]-Tabla1[[#This Row],[Prec acum (mm) historica]])/Tabla1[[#This Row],[Prec acum (mm) historica]]*100</f>
        <v>-37.5</v>
      </c>
    </row>
    <row r="131" spans="1:15" hidden="1" x14ac:dyDescent="0.25">
      <c r="A131">
        <v>1994</v>
      </c>
      <c r="B131" t="s">
        <v>15</v>
      </c>
      <c r="C131" t="s">
        <v>26</v>
      </c>
      <c r="D131" s="6">
        <v>22</v>
      </c>
      <c r="E131" s="6">
        <v>10.3</v>
      </c>
      <c r="F131" s="6">
        <v>16.3</v>
      </c>
      <c r="G131" s="6">
        <v>72</v>
      </c>
      <c r="H131" s="10">
        <v>22.8</v>
      </c>
      <c r="I131" s="10">
        <v>10.6</v>
      </c>
      <c r="J131" s="10">
        <v>16.7</v>
      </c>
      <c r="K131" s="10">
        <v>19</v>
      </c>
      <c r="L131" s="4">
        <f>+(Tabla1[[#This Row],[Tmax media (°C)]]-Tabla1[[#This Row],[Tmax media (°C) historica]])/Tabla1[[#This Row],[Tmax media (°C) historica]]*100</f>
        <v>3.6363636363636398</v>
      </c>
      <c r="M131" s="4">
        <f>+(Tabla1[[#This Row],[Tmin media (°C)]]-Tabla1[[#This Row],[Tmin media (°C) historica]])/Tabla1[[#This Row],[Tmin media (°C) historica]]*100</f>
        <v>2.9126213592232904</v>
      </c>
      <c r="N131" s="4">
        <f>+(Tabla1[[#This Row],[Tmedia media (°C)]]-Tabla1[[#This Row],[Tmedia media (°C) historica]])/Tabla1[[#This Row],[Tmedia media (°C) historica]]*100</f>
        <v>2.4539877300613409</v>
      </c>
      <c r="O131" s="4">
        <f>+(Tabla1[[#This Row],[Prec acum (mm)]]-Tabla1[[#This Row],[Prec acum (mm) historica]])/Tabla1[[#This Row],[Prec acum (mm) historica]]*100</f>
        <v>-73.611111111111114</v>
      </c>
    </row>
    <row r="132" spans="1:15" hidden="1" x14ac:dyDescent="0.25">
      <c r="A132">
        <v>1997</v>
      </c>
      <c r="B132" t="s">
        <v>15</v>
      </c>
      <c r="C132" t="s">
        <v>26</v>
      </c>
      <c r="D132" s="6">
        <v>22</v>
      </c>
      <c r="E132" s="6">
        <v>10.3</v>
      </c>
      <c r="F132" s="6">
        <v>16.3</v>
      </c>
      <c r="G132" s="6">
        <v>72</v>
      </c>
      <c r="H132" s="10">
        <v>20.100000000000001</v>
      </c>
      <c r="I132" s="10">
        <v>9.8000000000000007</v>
      </c>
      <c r="J132" s="10">
        <v>15</v>
      </c>
      <c r="K132" s="10">
        <v>145</v>
      </c>
      <c r="L132" s="3">
        <f>+(Tabla1[[#This Row],[Tmax media (°C)]]-Tabla1[[#This Row],[Tmax media (°C) historica]])/Tabla1[[#This Row],[Tmax media (°C) historica]]*100</f>
        <v>-8.6363636363636296</v>
      </c>
      <c r="M132" s="3">
        <f>+(Tabla1[[#This Row],[Tmin media (°C)]]-Tabla1[[#This Row],[Tmin media (°C) historica]])/Tabla1[[#This Row],[Tmin media (°C) historica]]*100</f>
        <v>-4.8543689320388346</v>
      </c>
      <c r="N132" s="3">
        <f>+(Tabla1[[#This Row],[Tmedia media (°C)]]-Tabla1[[#This Row],[Tmedia media (°C) historica]])/Tabla1[[#This Row],[Tmedia media (°C) historica]]*100</f>
        <v>-7.9754601226993902</v>
      </c>
      <c r="O132" s="3">
        <f>+(Tabla1[[#This Row],[Prec acum (mm)]]-Tabla1[[#This Row],[Prec acum (mm) historica]])/Tabla1[[#This Row],[Prec acum (mm) historica]]*100</f>
        <v>101.38888888888889</v>
      </c>
    </row>
    <row r="133" spans="1:15" hidden="1" x14ac:dyDescent="0.25">
      <c r="A133">
        <v>2002</v>
      </c>
      <c r="B133" t="s">
        <v>15</v>
      </c>
      <c r="C133" t="s">
        <v>26</v>
      </c>
      <c r="D133" s="6">
        <v>22</v>
      </c>
      <c r="E133" s="6">
        <v>10.3</v>
      </c>
      <c r="F133" s="6">
        <v>16.3</v>
      </c>
      <c r="G133" s="6">
        <v>72</v>
      </c>
      <c r="H133" s="10">
        <v>22</v>
      </c>
      <c r="I133" s="10">
        <v>11.3</v>
      </c>
      <c r="J133" s="10">
        <v>16.7</v>
      </c>
      <c r="K133" s="10">
        <v>74</v>
      </c>
      <c r="L133" s="4">
        <f>+(Tabla1[[#This Row],[Tmax media (°C)]]-Tabla1[[#This Row],[Tmax media (°C) historica]])/Tabla1[[#This Row],[Tmax media (°C) historica]]*100</f>
        <v>0</v>
      </c>
      <c r="M133" s="4">
        <f>+(Tabla1[[#This Row],[Tmin media (°C)]]-Tabla1[[#This Row],[Tmin media (°C) historica]])/Tabla1[[#This Row],[Tmin media (°C) historica]]*100</f>
        <v>9.7087378640776691</v>
      </c>
      <c r="N133" s="4">
        <f>+(Tabla1[[#This Row],[Tmedia media (°C)]]-Tabla1[[#This Row],[Tmedia media (°C) historica]])/Tabla1[[#This Row],[Tmedia media (°C) historica]]*100</f>
        <v>2.4539877300613409</v>
      </c>
      <c r="O133" s="4">
        <f>+(Tabla1[[#This Row],[Prec acum (mm)]]-Tabla1[[#This Row],[Prec acum (mm) historica]])/Tabla1[[#This Row],[Prec acum (mm) historica]]*100</f>
        <v>2.7777777777777777</v>
      </c>
    </row>
    <row r="134" spans="1:15" hidden="1" x14ac:dyDescent="0.25">
      <c r="A134">
        <v>2004</v>
      </c>
      <c r="B134" t="s">
        <v>15</v>
      </c>
      <c r="C134" t="s">
        <v>26</v>
      </c>
      <c r="D134" s="6">
        <v>22</v>
      </c>
      <c r="E134" s="6">
        <v>10.3</v>
      </c>
      <c r="F134" s="6">
        <v>16.3</v>
      </c>
      <c r="G134" s="6">
        <v>72</v>
      </c>
      <c r="H134" s="10">
        <v>19.899999999999999</v>
      </c>
      <c r="I134" s="10">
        <v>11.4</v>
      </c>
      <c r="J134" s="10">
        <v>15.7</v>
      </c>
      <c r="K134" s="10">
        <v>75</v>
      </c>
      <c r="L134" s="3">
        <f>+(Tabla1[[#This Row],[Tmax media (°C)]]-Tabla1[[#This Row],[Tmax media (°C) historica]])/Tabla1[[#This Row],[Tmax media (°C) historica]]*100</f>
        <v>-9.5454545454545521</v>
      </c>
      <c r="M134" s="3">
        <f>+(Tabla1[[#This Row],[Tmin media (°C)]]-Tabla1[[#This Row],[Tmin media (°C) historica]])/Tabla1[[#This Row],[Tmin media (°C) historica]]*100</f>
        <v>10.679611650485432</v>
      </c>
      <c r="N134" s="3">
        <f>+(Tabla1[[#This Row],[Tmedia media (°C)]]-Tabla1[[#This Row],[Tmedia media (°C) historica]])/Tabla1[[#This Row],[Tmedia media (°C) historica]]*100</f>
        <v>-3.680981595092033</v>
      </c>
      <c r="O134" s="3">
        <f>+(Tabla1[[#This Row],[Prec acum (mm)]]-Tabla1[[#This Row],[Prec acum (mm) historica]])/Tabla1[[#This Row],[Prec acum (mm) historica]]*100</f>
        <v>4.1666666666666661</v>
      </c>
    </row>
    <row r="135" spans="1:15" hidden="1" x14ac:dyDescent="0.25">
      <c r="A135">
        <v>2015</v>
      </c>
      <c r="B135" t="s">
        <v>15</v>
      </c>
      <c r="C135" t="s">
        <v>26</v>
      </c>
      <c r="D135" s="6">
        <v>22</v>
      </c>
      <c r="E135" s="6">
        <v>10.3</v>
      </c>
      <c r="F135" s="6">
        <v>16.3</v>
      </c>
      <c r="G135" s="6">
        <v>72</v>
      </c>
      <c r="H135" s="10">
        <v>22.2</v>
      </c>
      <c r="I135" s="10">
        <v>10</v>
      </c>
      <c r="J135" s="10">
        <v>16.100000000000001</v>
      </c>
      <c r="K135" s="10">
        <v>54</v>
      </c>
      <c r="L135" s="4">
        <f>+(Tabla1[[#This Row],[Tmax media (°C)]]-Tabla1[[#This Row],[Tmax media (°C) historica]])/Tabla1[[#This Row],[Tmax media (°C) historica]]*100</f>
        <v>0.90909090909090595</v>
      </c>
      <c r="M135" s="4">
        <f>+(Tabla1[[#This Row],[Tmin media (°C)]]-Tabla1[[#This Row],[Tmin media (°C) historica]])/Tabla1[[#This Row],[Tmin media (°C) historica]]*100</f>
        <v>-2.9126213592233077</v>
      </c>
      <c r="N135" s="4">
        <f>+(Tabla1[[#This Row],[Tmedia media (°C)]]-Tabla1[[#This Row],[Tmedia media (°C) historica]])/Tabla1[[#This Row],[Tmedia media (°C) historica]]*100</f>
        <v>-1.2269938650306704</v>
      </c>
      <c r="O135" s="4">
        <f>+(Tabla1[[#This Row],[Prec acum (mm)]]-Tabla1[[#This Row],[Prec acum (mm) historica]])/Tabla1[[#This Row],[Prec acum (mm) historica]]*100</f>
        <v>-25</v>
      </c>
    </row>
    <row r="136" spans="1:15" hidden="1" x14ac:dyDescent="0.25">
      <c r="A136">
        <v>2023</v>
      </c>
      <c r="B136" t="s">
        <v>15</v>
      </c>
      <c r="C136" t="s">
        <v>26</v>
      </c>
      <c r="D136" s="6">
        <v>22</v>
      </c>
      <c r="E136" s="6">
        <v>10.3</v>
      </c>
      <c r="F136" s="6">
        <v>16.3</v>
      </c>
      <c r="G136" s="6">
        <v>72</v>
      </c>
      <c r="H136" s="10">
        <v>23.3</v>
      </c>
      <c r="I136" s="10">
        <v>8.6</v>
      </c>
      <c r="J136" s="10">
        <v>16</v>
      </c>
      <c r="K136" s="10">
        <v>66</v>
      </c>
      <c r="L136" s="3">
        <f>+(Tabla1[[#This Row],[Tmax media (°C)]]-Tabla1[[#This Row],[Tmax media (°C) historica]])/Tabla1[[#This Row],[Tmax media (°C) historica]]*100</f>
        <v>5.9090909090909127</v>
      </c>
      <c r="M136" s="3">
        <f>+(Tabla1[[#This Row],[Tmin media (°C)]]-Tabla1[[#This Row],[Tmin media (°C) historica]])/Tabla1[[#This Row],[Tmin media (°C) historica]]*100</f>
        <v>-16.504854368932047</v>
      </c>
      <c r="N136" s="3">
        <f>+(Tabla1[[#This Row],[Tmedia media (°C)]]-Tabla1[[#This Row],[Tmedia media (°C) historica]])/Tabla1[[#This Row],[Tmedia media (°C) historica]]*100</f>
        <v>-1.8404907975460165</v>
      </c>
      <c r="O136" s="3">
        <f>+(Tabla1[[#This Row],[Prec acum (mm)]]-Tabla1[[#This Row],[Prec acum (mm) historica]])/Tabla1[[#This Row],[Prec acum (mm) historica]]*100</f>
        <v>-8.3333333333333321</v>
      </c>
    </row>
    <row r="137" spans="1:15" hidden="1" x14ac:dyDescent="0.25">
      <c r="A137">
        <v>1982</v>
      </c>
      <c r="B137" t="s">
        <v>15</v>
      </c>
      <c r="C137" t="s">
        <v>27</v>
      </c>
      <c r="D137" s="6">
        <v>24.7</v>
      </c>
      <c r="E137" s="6">
        <v>12.4</v>
      </c>
      <c r="F137" s="6">
        <v>18.600000000000001</v>
      </c>
      <c r="G137" s="6">
        <v>97</v>
      </c>
      <c r="H137" s="10">
        <v>25.9</v>
      </c>
      <c r="I137" s="10">
        <v>13.9</v>
      </c>
      <c r="J137" s="10">
        <v>19.899999999999999</v>
      </c>
      <c r="K137" s="10">
        <v>120</v>
      </c>
      <c r="L137" s="3">
        <f>+(Tabla1[[#This Row],[Tmax media (°C)]]-Tabla1[[#This Row],[Tmax media (°C) historica]])/Tabla1[[#This Row],[Tmax media (°C) historica]]*100</f>
        <v>4.8582995951416974</v>
      </c>
      <c r="M137" s="3">
        <f>+(Tabla1[[#This Row],[Tmin media (°C)]]-Tabla1[[#This Row],[Tmin media (°C) historica]])/Tabla1[[#This Row],[Tmin media (°C) historica]]*100</f>
        <v>12.096774193548386</v>
      </c>
      <c r="N137" s="3">
        <f>+(Tabla1[[#This Row],[Tmedia media (°C)]]-Tabla1[[#This Row],[Tmedia media (°C) historica]])/Tabla1[[#This Row],[Tmedia media (°C) historica]]*100</f>
        <v>6.989247311827941</v>
      </c>
      <c r="O137" s="3">
        <f>+(Tabla1[[#This Row],[Prec acum (mm)]]-Tabla1[[#This Row],[Prec acum (mm) historica]])/Tabla1[[#This Row],[Prec acum (mm) historica]]*100</f>
        <v>23.711340206185564</v>
      </c>
    </row>
    <row r="138" spans="1:15" hidden="1" x14ac:dyDescent="0.25">
      <c r="A138">
        <v>1987</v>
      </c>
      <c r="B138" t="s">
        <v>15</v>
      </c>
      <c r="C138" t="s">
        <v>27</v>
      </c>
      <c r="D138" s="6">
        <v>24.7</v>
      </c>
      <c r="E138" s="6">
        <v>12.4</v>
      </c>
      <c r="F138" s="6">
        <v>18.600000000000001</v>
      </c>
      <c r="G138" s="6">
        <v>97</v>
      </c>
      <c r="H138" s="10">
        <v>22.2</v>
      </c>
      <c r="I138" s="10">
        <v>12.4</v>
      </c>
      <c r="J138" s="10">
        <v>17.3</v>
      </c>
      <c r="K138" s="10">
        <v>131</v>
      </c>
      <c r="L138" s="4">
        <f>+(Tabla1[[#This Row],[Tmax media (°C)]]-Tabla1[[#This Row],[Tmax media (°C) historica]])/Tabla1[[#This Row],[Tmax media (°C) historica]]*100</f>
        <v>-10.121457489878543</v>
      </c>
      <c r="M138" s="4">
        <f>+(Tabla1[[#This Row],[Tmin media (°C)]]-Tabla1[[#This Row],[Tmin media (°C) historica]])/Tabla1[[#This Row],[Tmin media (°C) historica]]*100</f>
        <v>0</v>
      </c>
      <c r="N138" s="4">
        <f>+(Tabla1[[#This Row],[Tmedia media (°C)]]-Tabla1[[#This Row],[Tmedia media (°C) historica]])/Tabla1[[#This Row],[Tmedia media (°C) historica]]*100</f>
        <v>-6.9892473118279606</v>
      </c>
      <c r="O138" s="4">
        <f>+(Tabla1[[#This Row],[Prec acum (mm)]]-Tabla1[[#This Row],[Prec acum (mm) historica]])/Tabla1[[#This Row],[Prec acum (mm) historica]]*100</f>
        <v>35.051546391752574</v>
      </c>
    </row>
    <row r="139" spans="1:15" hidden="1" x14ac:dyDescent="0.25">
      <c r="A139">
        <v>1991</v>
      </c>
      <c r="B139" t="s">
        <v>15</v>
      </c>
      <c r="C139" t="s">
        <v>27</v>
      </c>
      <c r="D139" s="6">
        <v>25.3</v>
      </c>
      <c r="E139" s="6">
        <v>12.9</v>
      </c>
      <c r="F139" s="6">
        <v>18.899999999999999</v>
      </c>
      <c r="G139" s="6">
        <v>90</v>
      </c>
      <c r="H139" s="10">
        <v>24.7</v>
      </c>
      <c r="I139" s="10">
        <v>12.6</v>
      </c>
      <c r="J139" s="10">
        <v>18.600000000000001</v>
      </c>
      <c r="K139" s="10">
        <v>86</v>
      </c>
      <c r="L139" s="3">
        <f>+(Tabla1[[#This Row],[Tmax media (°C)]]-Tabla1[[#This Row],[Tmax media (°C) historica]])/Tabla1[[#This Row],[Tmax media (°C) historica]]*100</f>
        <v>-2.37154150197629</v>
      </c>
      <c r="M139" s="3">
        <f>+(Tabla1[[#This Row],[Tmin media (°C)]]-Tabla1[[#This Row],[Tmin media (°C) historica]])/Tabla1[[#This Row],[Tmin media (°C) historica]]*100</f>
        <v>-2.3255813953488427</v>
      </c>
      <c r="N139" s="3">
        <f>+(Tabla1[[#This Row],[Tmedia media (°C)]]-Tabla1[[#This Row],[Tmedia media (°C) historica]])/Tabla1[[#This Row],[Tmedia media (°C) historica]]*100</f>
        <v>-1.5873015873015723</v>
      </c>
      <c r="O139" s="3">
        <f>+(Tabla1[[#This Row],[Prec acum (mm)]]-Tabla1[[#This Row],[Prec acum (mm) historica]])/Tabla1[[#This Row],[Prec acum (mm) historica]]*100</f>
        <v>-4.4444444444444446</v>
      </c>
    </row>
    <row r="140" spans="1:15" hidden="1" x14ac:dyDescent="0.25">
      <c r="A140">
        <v>1994</v>
      </c>
      <c r="B140" t="s">
        <v>15</v>
      </c>
      <c r="C140" t="s">
        <v>27</v>
      </c>
      <c r="D140" s="6">
        <v>25.3</v>
      </c>
      <c r="E140" s="6">
        <v>12.9</v>
      </c>
      <c r="F140" s="6">
        <v>18.899999999999999</v>
      </c>
      <c r="G140" s="6">
        <v>90</v>
      </c>
      <c r="H140" s="10">
        <v>26.8</v>
      </c>
      <c r="I140" s="10">
        <v>14.3</v>
      </c>
      <c r="J140" s="10">
        <v>20.6</v>
      </c>
      <c r="K140" s="10">
        <v>91</v>
      </c>
      <c r="L140" s="4">
        <f>+(Tabla1[[#This Row],[Tmax media (°C)]]-Tabla1[[#This Row],[Tmax media (°C) historica]])/Tabla1[[#This Row],[Tmax media (°C) historica]]*100</f>
        <v>5.928853754940711</v>
      </c>
      <c r="M140" s="4">
        <f>+(Tabla1[[#This Row],[Tmin media (°C)]]-Tabla1[[#This Row],[Tmin media (°C) historica]])/Tabla1[[#This Row],[Tmin media (°C) historica]]*100</f>
        <v>10.852713178294577</v>
      </c>
      <c r="N140" s="4">
        <f>+(Tabla1[[#This Row],[Tmedia media (°C)]]-Tabla1[[#This Row],[Tmedia media (°C) historica]])/Tabla1[[#This Row],[Tmedia media (°C) historica]]*100</f>
        <v>8.9947089947090113</v>
      </c>
      <c r="O140" s="4">
        <f>+(Tabla1[[#This Row],[Prec acum (mm)]]-Tabla1[[#This Row],[Prec acum (mm) historica]])/Tabla1[[#This Row],[Prec acum (mm) historica]]*100</f>
        <v>1.1111111111111112</v>
      </c>
    </row>
    <row r="141" spans="1:15" hidden="1" x14ac:dyDescent="0.25">
      <c r="A141">
        <v>1997</v>
      </c>
      <c r="B141" t="s">
        <v>15</v>
      </c>
      <c r="C141" t="s">
        <v>27</v>
      </c>
      <c r="D141" s="6">
        <v>25.3</v>
      </c>
      <c r="E141" s="6">
        <v>12.9</v>
      </c>
      <c r="F141" s="6">
        <v>18.899999999999999</v>
      </c>
      <c r="G141" s="6">
        <v>90</v>
      </c>
      <c r="H141" s="10">
        <v>22.1</v>
      </c>
      <c r="I141" s="10">
        <v>11.8</v>
      </c>
      <c r="J141" s="10">
        <v>17</v>
      </c>
      <c r="K141" s="10">
        <v>129</v>
      </c>
      <c r="L141" s="3">
        <f>+(Tabla1[[#This Row],[Tmax media (°C)]]-Tabla1[[#This Row],[Tmax media (°C) historica]])/Tabla1[[#This Row],[Tmax media (°C) historica]]*100</f>
        <v>-12.648221343873514</v>
      </c>
      <c r="M141" s="3">
        <f>+(Tabla1[[#This Row],[Tmin media (°C)]]-Tabla1[[#This Row],[Tmin media (°C) historica]])/Tabla1[[#This Row],[Tmin media (°C) historica]]*100</f>
        <v>-8.5271317829457338</v>
      </c>
      <c r="N141" s="3">
        <f>+(Tabla1[[#This Row],[Tmedia media (°C)]]-Tabla1[[#This Row],[Tmedia media (°C) historica]])/Tabla1[[#This Row],[Tmedia media (°C) historica]]*100</f>
        <v>-10.052910052910047</v>
      </c>
      <c r="O141" s="3">
        <f>+(Tabla1[[#This Row],[Prec acum (mm)]]-Tabla1[[#This Row],[Prec acum (mm) historica]])/Tabla1[[#This Row],[Prec acum (mm) historica]]*100</f>
        <v>43.333333333333336</v>
      </c>
    </row>
    <row r="142" spans="1:15" hidden="1" x14ac:dyDescent="0.25">
      <c r="A142">
        <v>2002</v>
      </c>
      <c r="B142" t="s">
        <v>15</v>
      </c>
      <c r="C142" t="s">
        <v>27</v>
      </c>
      <c r="D142" s="6">
        <v>25.3</v>
      </c>
      <c r="E142" s="6">
        <v>12.9</v>
      </c>
      <c r="F142" s="6">
        <v>18.899999999999999</v>
      </c>
      <c r="G142" s="6">
        <v>90</v>
      </c>
      <c r="H142" s="10">
        <v>24.1</v>
      </c>
      <c r="I142" s="10">
        <v>13.8</v>
      </c>
      <c r="J142" s="10">
        <v>19</v>
      </c>
      <c r="K142" s="10">
        <v>56</v>
      </c>
      <c r="L142" s="4">
        <f>+(Tabla1[[#This Row],[Tmax media (°C)]]-Tabla1[[#This Row],[Tmax media (°C) historica]])/Tabla1[[#This Row],[Tmax media (°C) historica]]*100</f>
        <v>-4.7430830039525658</v>
      </c>
      <c r="M142" s="4">
        <f>+(Tabla1[[#This Row],[Tmin media (°C)]]-Tabla1[[#This Row],[Tmin media (°C) historica]])/Tabla1[[#This Row],[Tmin media (°C) historica]]*100</f>
        <v>6.9767441860465143</v>
      </c>
      <c r="N142" s="4">
        <f>+(Tabla1[[#This Row],[Tmedia media (°C)]]-Tabla1[[#This Row],[Tmedia media (°C) historica]])/Tabla1[[#This Row],[Tmedia media (°C) historica]]*100</f>
        <v>0.52910052910053662</v>
      </c>
      <c r="O142" s="4">
        <f>+(Tabla1[[#This Row],[Prec acum (mm)]]-Tabla1[[#This Row],[Prec acum (mm) historica]])/Tabla1[[#This Row],[Prec acum (mm) historica]]*100</f>
        <v>-37.777777777777779</v>
      </c>
    </row>
    <row r="143" spans="1:15" hidden="1" x14ac:dyDescent="0.25">
      <c r="A143">
        <v>2004</v>
      </c>
      <c r="B143" t="s">
        <v>15</v>
      </c>
      <c r="C143" t="s">
        <v>27</v>
      </c>
      <c r="D143" s="6">
        <v>25.3</v>
      </c>
      <c r="E143" s="6">
        <v>12.9</v>
      </c>
      <c r="F143" s="6">
        <v>18.899999999999999</v>
      </c>
      <c r="G143" s="6">
        <v>90</v>
      </c>
      <c r="H143" s="10">
        <v>25.3</v>
      </c>
      <c r="I143" s="10">
        <v>14</v>
      </c>
      <c r="J143" s="10">
        <v>19.600000000000001</v>
      </c>
      <c r="K143" s="10">
        <v>57</v>
      </c>
      <c r="L143" s="3">
        <f>+(Tabla1[[#This Row],[Tmax media (°C)]]-Tabla1[[#This Row],[Tmax media (°C) historica]])/Tabla1[[#This Row],[Tmax media (°C) historica]]*100</f>
        <v>0</v>
      </c>
      <c r="M143" s="3">
        <f>+(Tabla1[[#This Row],[Tmin media (°C)]]-Tabla1[[#This Row],[Tmin media (°C) historica]])/Tabla1[[#This Row],[Tmin media (°C) historica]]*100</f>
        <v>8.5271317829457338</v>
      </c>
      <c r="N143" s="3">
        <f>+(Tabla1[[#This Row],[Tmedia media (°C)]]-Tabla1[[#This Row],[Tmedia media (°C) historica]])/Tabla1[[#This Row],[Tmedia media (°C) historica]]*100</f>
        <v>3.7037037037037188</v>
      </c>
      <c r="O143" s="3">
        <f>+(Tabla1[[#This Row],[Prec acum (mm)]]-Tabla1[[#This Row],[Prec acum (mm) historica]])/Tabla1[[#This Row],[Prec acum (mm) historica]]*100</f>
        <v>-36.666666666666664</v>
      </c>
    </row>
    <row r="144" spans="1:15" hidden="1" x14ac:dyDescent="0.25">
      <c r="A144">
        <v>2015</v>
      </c>
      <c r="B144" t="s">
        <v>15</v>
      </c>
      <c r="C144" t="s">
        <v>27</v>
      </c>
      <c r="D144" s="6">
        <v>25.3</v>
      </c>
      <c r="E144" s="6">
        <v>12.9</v>
      </c>
      <c r="F144" s="6">
        <v>18.899999999999999</v>
      </c>
      <c r="G144" s="6">
        <v>90</v>
      </c>
      <c r="H144" s="10">
        <v>27.2</v>
      </c>
      <c r="I144" s="10">
        <v>13.5</v>
      </c>
      <c r="J144" s="10">
        <v>20.399999999999999</v>
      </c>
      <c r="K144" s="10">
        <v>13</v>
      </c>
      <c r="L144" s="4">
        <f>+(Tabla1[[#This Row],[Tmax media (°C)]]-Tabla1[[#This Row],[Tmax media (°C) historica]])/Tabla1[[#This Row],[Tmax media (°C) historica]]*100</f>
        <v>7.5098814229248951</v>
      </c>
      <c r="M144" s="4">
        <f>+(Tabla1[[#This Row],[Tmin media (°C)]]-Tabla1[[#This Row],[Tmin media (°C) historica]])/Tabla1[[#This Row],[Tmin media (°C) historica]]*100</f>
        <v>4.651162790697672</v>
      </c>
      <c r="N144" s="4">
        <f>+(Tabla1[[#This Row],[Tmedia media (°C)]]-Tabla1[[#This Row],[Tmedia media (°C) historica]])/Tabla1[[#This Row],[Tmedia media (°C) historica]]*100</f>
        <v>7.9365079365079376</v>
      </c>
      <c r="O144" s="4">
        <f>+(Tabla1[[#This Row],[Prec acum (mm)]]-Tabla1[[#This Row],[Prec acum (mm) historica]])/Tabla1[[#This Row],[Prec acum (mm) historica]]*100</f>
        <v>-85.555555555555557</v>
      </c>
    </row>
    <row r="145" spans="1:15" hidden="1" x14ac:dyDescent="0.25">
      <c r="A145">
        <v>2023</v>
      </c>
      <c r="B145" t="s">
        <v>15</v>
      </c>
      <c r="C145" t="s">
        <v>27</v>
      </c>
      <c r="D145" s="6">
        <v>25.3</v>
      </c>
      <c r="E145" s="6">
        <v>12.9</v>
      </c>
      <c r="F145" s="6">
        <v>18.899999999999999</v>
      </c>
      <c r="G145" s="6">
        <v>90</v>
      </c>
      <c r="H145" s="10">
        <v>23.9</v>
      </c>
      <c r="I145" s="10">
        <v>13</v>
      </c>
      <c r="J145" s="10">
        <v>18.399999999999999</v>
      </c>
      <c r="K145" s="10">
        <v>99</v>
      </c>
      <c r="L145" s="3">
        <f>+(Tabla1[[#This Row],[Tmax media (°C)]]-Tabla1[[#This Row],[Tmax media (°C) historica]])/Tabla1[[#This Row],[Tmax media (°C) historica]]*100</f>
        <v>-5.5335968379446721</v>
      </c>
      <c r="M145" s="3">
        <f>+(Tabla1[[#This Row],[Tmin media (°C)]]-Tabla1[[#This Row],[Tmin media (°C) historica]])/Tabla1[[#This Row],[Tmin media (°C) historica]]*100</f>
        <v>0.77519379844960956</v>
      </c>
      <c r="N145" s="3">
        <f>+(Tabla1[[#This Row],[Tmedia media (°C)]]-Tabla1[[#This Row],[Tmedia media (°C) historica]])/Tabla1[[#This Row],[Tmedia media (°C) historica]]*100</f>
        <v>-2.6455026455026456</v>
      </c>
      <c r="O145" s="3">
        <f>+(Tabla1[[#This Row],[Prec acum (mm)]]-Tabla1[[#This Row],[Prec acum (mm) historica]])/Tabla1[[#This Row],[Prec acum (mm) historica]]*100</f>
        <v>10</v>
      </c>
    </row>
    <row r="146" spans="1:15" hidden="1" x14ac:dyDescent="0.25">
      <c r="A146">
        <v>1982</v>
      </c>
      <c r="B146" t="s">
        <v>15</v>
      </c>
      <c r="C146" t="s">
        <v>28</v>
      </c>
      <c r="D146" s="6">
        <v>26.7</v>
      </c>
      <c r="E146" s="6">
        <v>14.6</v>
      </c>
      <c r="F146" s="6">
        <v>20.3</v>
      </c>
      <c r="G146" s="6">
        <v>104</v>
      </c>
      <c r="H146" s="10">
        <v>27.9</v>
      </c>
      <c r="I146" s="10">
        <v>17.5</v>
      </c>
      <c r="J146" s="10">
        <v>22.7</v>
      </c>
      <c r="K146" s="10">
        <v>163</v>
      </c>
      <c r="L146" s="3">
        <f>+(Tabla1[[#This Row],[Tmax media (°C)]]-Tabla1[[#This Row],[Tmax media (°C) historica]])/Tabla1[[#This Row],[Tmax media (°C) historica]]*100</f>
        <v>4.4943820224719078</v>
      </c>
      <c r="M146" s="3">
        <f>+(Tabla1[[#This Row],[Tmin media (°C)]]-Tabla1[[#This Row],[Tmin media (°C) historica]])/Tabla1[[#This Row],[Tmin media (°C) historica]]*100</f>
        <v>19.863013698630137</v>
      </c>
      <c r="N146" s="3">
        <f>+(Tabla1[[#This Row],[Tmedia media (°C)]]-Tabla1[[#This Row],[Tmedia media (°C) historica]])/Tabla1[[#This Row],[Tmedia media (°C) historica]]*100</f>
        <v>11.82266009852216</v>
      </c>
      <c r="O146" s="3">
        <f>+(Tabla1[[#This Row],[Prec acum (mm)]]-Tabla1[[#This Row],[Prec acum (mm) historica]])/Tabla1[[#This Row],[Prec acum (mm) historica]]*100</f>
        <v>56.730769230769226</v>
      </c>
    </row>
    <row r="147" spans="1:15" hidden="1" x14ac:dyDescent="0.25">
      <c r="A147">
        <v>1987</v>
      </c>
      <c r="B147" t="s">
        <v>15</v>
      </c>
      <c r="C147" t="s">
        <v>28</v>
      </c>
      <c r="D147" s="6">
        <v>26.7</v>
      </c>
      <c r="E147" s="6">
        <v>14.6</v>
      </c>
      <c r="F147" s="6">
        <v>20.3</v>
      </c>
      <c r="G147" s="6">
        <v>104</v>
      </c>
      <c r="H147" s="10">
        <v>26.7</v>
      </c>
      <c r="I147" s="10">
        <v>14.2</v>
      </c>
      <c r="J147" s="10">
        <v>20.5</v>
      </c>
      <c r="K147" s="10">
        <v>84</v>
      </c>
      <c r="L147" s="4">
        <f>+(Tabla1[[#This Row],[Tmax media (°C)]]-Tabla1[[#This Row],[Tmax media (°C) historica]])/Tabla1[[#This Row],[Tmax media (°C) historica]]*100</f>
        <v>0</v>
      </c>
      <c r="M147" s="4">
        <f>+(Tabla1[[#This Row],[Tmin media (°C)]]-Tabla1[[#This Row],[Tmin media (°C) historica]])/Tabla1[[#This Row],[Tmin media (°C) historica]]*100</f>
        <v>-2.7397260273972628</v>
      </c>
      <c r="N147" s="4">
        <f>+(Tabla1[[#This Row],[Tmedia media (°C)]]-Tabla1[[#This Row],[Tmedia media (°C) historica]])/Tabla1[[#This Row],[Tmedia media (°C) historica]]*100</f>
        <v>0.98522167487684387</v>
      </c>
      <c r="O147" s="4">
        <f>+(Tabla1[[#This Row],[Prec acum (mm)]]-Tabla1[[#This Row],[Prec acum (mm) historica]])/Tabla1[[#This Row],[Prec acum (mm) historica]]*100</f>
        <v>-19.230769230769234</v>
      </c>
    </row>
    <row r="148" spans="1:15" hidden="1" x14ac:dyDescent="0.25">
      <c r="A148">
        <v>1991</v>
      </c>
      <c r="B148" t="s">
        <v>15</v>
      </c>
      <c r="C148" t="s">
        <v>28</v>
      </c>
      <c r="D148" s="6">
        <v>26.4</v>
      </c>
      <c r="E148" s="6">
        <v>14.8</v>
      </c>
      <c r="F148" s="6">
        <v>20.5</v>
      </c>
      <c r="G148" s="6">
        <v>91</v>
      </c>
      <c r="H148" s="10">
        <v>23.7</v>
      </c>
      <c r="I148" s="10">
        <v>15.3</v>
      </c>
      <c r="J148" s="10">
        <v>19.5</v>
      </c>
      <c r="K148" s="10">
        <v>106</v>
      </c>
      <c r="L148" s="3">
        <f>+(Tabla1[[#This Row],[Tmax media (°C)]]-Tabla1[[#This Row],[Tmax media (°C) historica]])/Tabla1[[#This Row],[Tmax media (°C) historica]]*100</f>
        <v>-10.227272727272725</v>
      </c>
      <c r="M148" s="3">
        <f>+(Tabla1[[#This Row],[Tmin media (°C)]]-Tabla1[[#This Row],[Tmin media (°C) historica]])/Tabla1[[#This Row],[Tmin media (°C) historica]]*100</f>
        <v>3.3783783783783781</v>
      </c>
      <c r="N148" s="3">
        <f>+(Tabla1[[#This Row],[Tmedia media (°C)]]-Tabla1[[#This Row],[Tmedia media (°C) historica]])/Tabla1[[#This Row],[Tmedia media (°C) historica]]*100</f>
        <v>-4.8780487804878048</v>
      </c>
      <c r="O148" s="3">
        <f>+(Tabla1[[#This Row],[Prec acum (mm)]]-Tabla1[[#This Row],[Prec acum (mm) historica]])/Tabla1[[#This Row],[Prec acum (mm) historica]]*100</f>
        <v>16.483516483516482</v>
      </c>
    </row>
    <row r="149" spans="1:15" hidden="1" x14ac:dyDescent="0.25">
      <c r="A149">
        <v>1994</v>
      </c>
      <c r="B149" t="s">
        <v>15</v>
      </c>
      <c r="C149" t="s">
        <v>28</v>
      </c>
      <c r="D149" s="6">
        <v>26.4</v>
      </c>
      <c r="E149" s="6">
        <v>14.8</v>
      </c>
      <c r="F149" s="6">
        <v>20.5</v>
      </c>
      <c r="G149" s="6">
        <v>91</v>
      </c>
      <c r="H149" s="10">
        <v>25.6</v>
      </c>
      <c r="I149" s="10">
        <v>13.9</v>
      </c>
      <c r="J149" s="10">
        <v>19.8</v>
      </c>
      <c r="K149" s="10">
        <v>127</v>
      </c>
      <c r="L149" s="4">
        <f>+(Tabla1[[#This Row],[Tmax media (°C)]]-Tabla1[[#This Row],[Tmax media (°C) historica]])/Tabla1[[#This Row],[Tmax media (°C) historica]]*100</f>
        <v>-3.0303030303030196</v>
      </c>
      <c r="M149" s="4">
        <f>+(Tabla1[[#This Row],[Tmin media (°C)]]-Tabla1[[#This Row],[Tmin media (°C) historica]])/Tabla1[[#This Row],[Tmin media (°C) historica]]*100</f>
        <v>-6.0810810810810834</v>
      </c>
      <c r="N149" s="4">
        <f>+(Tabla1[[#This Row],[Tmedia media (°C)]]-Tabla1[[#This Row],[Tmedia media (°C) historica]])/Tabla1[[#This Row],[Tmedia media (°C) historica]]*100</f>
        <v>-3.4146341463414602</v>
      </c>
      <c r="O149" s="4">
        <f>+(Tabla1[[#This Row],[Prec acum (mm)]]-Tabla1[[#This Row],[Prec acum (mm) historica]])/Tabla1[[#This Row],[Prec acum (mm) historica]]*100</f>
        <v>39.560439560439562</v>
      </c>
    </row>
    <row r="150" spans="1:15" hidden="1" x14ac:dyDescent="0.25">
      <c r="A150">
        <v>1997</v>
      </c>
      <c r="B150" t="s">
        <v>15</v>
      </c>
      <c r="C150" t="s">
        <v>28</v>
      </c>
      <c r="D150" s="6">
        <v>26.4</v>
      </c>
      <c r="E150" s="6">
        <v>14.8</v>
      </c>
      <c r="F150" s="6">
        <v>20.5</v>
      </c>
      <c r="G150" s="6">
        <v>91</v>
      </c>
      <c r="H150" s="10">
        <v>25.7</v>
      </c>
      <c r="I150" s="10">
        <v>13.3</v>
      </c>
      <c r="J150" s="10">
        <v>19.5</v>
      </c>
      <c r="K150" s="10">
        <v>100</v>
      </c>
      <c r="L150" s="3">
        <f>+(Tabla1[[#This Row],[Tmax media (°C)]]-Tabla1[[#This Row],[Tmax media (°C) historica]])/Tabla1[[#This Row],[Tmax media (°C) historica]]*100</f>
        <v>-2.6515151515151487</v>
      </c>
      <c r="M150" s="3">
        <f>+(Tabla1[[#This Row],[Tmin media (°C)]]-Tabla1[[#This Row],[Tmin media (°C) historica]])/Tabla1[[#This Row],[Tmin media (°C) historica]]*100</f>
        <v>-10.135135135135135</v>
      </c>
      <c r="N150" s="3">
        <f>+(Tabla1[[#This Row],[Tmedia media (°C)]]-Tabla1[[#This Row],[Tmedia media (°C) historica]])/Tabla1[[#This Row],[Tmedia media (°C) historica]]*100</f>
        <v>-4.8780487804878048</v>
      </c>
      <c r="O150" s="3">
        <f>+(Tabla1[[#This Row],[Prec acum (mm)]]-Tabla1[[#This Row],[Prec acum (mm) historica]])/Tabla1[[#This Row],[Prec acum (mm) historica]]*100</f>
        <v>9.8901098901098905</v>
      </c>
    </row>
    <row r="151" spans="1:15" hidden="1" x14ac:dyDescent="0.25">
      <c r="A151">
        <v>2002</v>
      </c>
      <c r="B151" t="s">
        <v>15</v>
      </c>
      <c r="C151" t="s">
        <v>28</v>
      </c>
      <c r="D151" s="6">
        <v>26.4</v>
      </c>
      <c r="E151" s="6">
        <v>14.8</v>
      </c>
      <c r="F151" s="6">
        <v>20.5</v>
      </c>
      <c r="G151" s="6">
        <v>91</v>
      </c>
      <c r="H151" s="10">
        <v>27.9</v>
      </c>
      <c r="I151" s="10">
        <v>13.9</v>
      </c>
      <c r="J151" s="10">
        <v>20.9</v>
      </c>
      <c r="K151" s="10">
        <v>100</v>
      </c>
      <c r="L151" s="4">
        <f>+(Tabla1[[#This Row],[Tmax media (°C)]]-Tabla1[[#This Row],[Tmax media (°C) historica]])/Tabla1[[#This Row],[Tmax media (°C) historica]]*100</f>
        <v>5.6818181818181825</v>
      </c>
      <c r="M151" s="4">
        <f>+(Tabla1[[#This Row],[Tmin media (°C)]]-Tabla1[[#This Row],[Tmin media (°C) historica]])/Tabla1[[#This Row],[Tmin media (°C) historica]]*100</f>
        <v>-6.0810810810810834</v>
      </c>
      <c r="N151" s="4">
        <f>+(Tabla1[[#This Row],[Tmedia media (°C)]]-Tabla1[[#This Row],[Tmedia media (°C) historica]])/Tabla1[[#This Row],[Tmedia media (°C) historica]]*100</f>
        <v>1.951219512195115</v>
      </c>
      <c r="O151" s="4">
        <f>+(Tabla1[[#This Row],[Prec acum (mm)]]-Tabla1[[#This Row],[Prec acum (mm) historica]])/Tabla1[[#This Row],[Prec acum (mm) historica]]*100</f>
        <v>9.8901098901098905</v>
      </c>
    </row>
    <row r="152" spans="1:15" hidden="1" x14ac:dyDescent="0.25">
      <c r="A152">
        <v>2004</v>
      </c>
      <c r="B152" t="s">
        <v>15</v>
      </c>
      <c r="C152" t="s">
        <v>28</v>
      </c>
      <c r="D152" s="6">
        <v>26.4</v>
      </c>
      <c r="E152" s="6">
        <v>14.8</v>
      </c>
      <c r="F152" s="6">
        <v>20.5</v>
      </c>
      <c r="G152" s="6">
        <v>91</v>
      </c>
      <c r="H152" s="10">
        <v>27</v>
      </c>
      <c r="I152" s="10">
        <v>13.5</v>
      </c>
      <c r="J152" s="10">
        <v>20.2</v>
      </c>
      <c r="K152" s="10">
        <v>76</v>
      </c>
      <c r="L152" s="3">
        <f>+(Tabla1[[#This Row],[Tmax media (°C)]]-Tabla1[[#This Row],[Tmax media (°C) historica]])/Tabla1[[#This Row],[Tmax media (°C) historica]]*100</f>
        <v>2.2727272727272783</v>
      </c>
      <c r="M152" s="3">
        <f>+(Tabla1[[#This Row],[Tmin media (°C)]]-Tabla1[[#This Row],[Tmin media (°C) historica]])/Tabla1[[#This Row],[Tmin media (°C) historica]]*100</f>
        <v>-8.7837837837837878</v>
      </c>
      <c r="N152" s="3">
        <f>+(Tabla1[[#This Row],[Tmedia media (°C)]]-Tabla1[[#This Row],[Tmedia media (°C) historica]])/Tabla1[[#This Row],[Tmedia media (°C) historica]]*100</f>
        <v>-1.4634146341463448</v>
      </c>
      <c r="O152" s="3">
        <f>+(Tabla1[[#This Row],[Prec acum (mm)]]-Tabla1[[#This Row],[Prec acum (mm) historica]])/Tabla1[[#This Row],[Prec acum (mm) historica]]*100</f>
        <v>-16.483516483516482</v>
      </c>
    </row>
    <row r="153" spans="1:15" hidden="1" x14ac:dyDescent="0.25">
      <c r="A153">
        <v>2015</v>
      </c>
      <c r="B153" t="s">
        <v>15</v>
      </c>
      <c r="C153" t="s">
        <v>28</v>
      </c>
      <c r="D153" s="6">
        <v>26.4</v>
      </c>
      <c r="E153" s="6">
        <v>14.8</v>
      </c>
      <c r="F153" s="6">
        <v>20.5</v>
      </c>
      <c r="G153" s="6">
        <v>91</v>
      </c>
      <c r="H153" s="10">
        <v>25.5</v>
      </c>
      <c r="I153" s="10">
        <v>15.2</v>
      </c>
      <c r="J153" s="10">
        <v>20.3</v>
      </c>
      <c r="K153" s="10">
        <v>211</v>
      </c>
      <c r="L153" s="4">
        <f>+(Tabla1[[#This Row],[Tmax media (°C)]]-Tabla1[[#This Row],[Tmax media (°C) historica]])/Tabla1[[#This Row],[Tmax media (°C) historica]]*100</f>
        <v>-3.4090909090909038</v>
      </c>
      <c r="M153" s="4">
        <f>+(Tabla1[[#This Row],[Tmin media (°C)]]-Tabla1[[#This Row],[Tmin media (°C) historica]])/Tabla1[[#This Row],[Tmin media (°C) historica]]*100</f>
        <v>2.7027027027026933</v>
      </c>
      <c r="N153" s="4">
        <f>+(Tabla1[[#This Row],[Tmedia media (°C)]]-Tabla1[[#This Row],[Tmedia media (°C) historica]])/Tabla1[[#This Row],[Tmedia media (°C) historica]]*100</f>
        <v>-0.97560975609755751</v>
      </c>
      <c r="O153" s="4">
        <f>+(Tabla1[[#This Row],[Prec acum (mm)]]-Tabla1[[#This Row],[Prec acum (mm) historica]])/Tabla1[[#This Row],[Prec acum (mm) historica]]*100</f>
        <v>131.86813186813185</v>
      </c>
    </row>
    <row r="154" spans="1:15" hidden="1" x14ac:dyDescent="0.25">
      <c r="A154">
        <v>2023</v>
      </c>
      <c r="B154" t="s">
        <v>15</v>
      </c>
      <c r="C154" t="s">
        <v>28</v>
      </c>
      <c r="D154" s="6">
        <v>26.4</v>
      </c>
      <c r="E154" s="6">
        <v>14.8</v>
      </c>
      <c r="F154" s="6">
        <v>20.5</v>
      </c>
      <c r="G154" s="6">
        <v>91</v>
      </c>
      <c r="H154" s="10">
        <v>27.7</v>
      </c>
      <c r="I154" s="10">
        <v>14.8</v>
      </c>
      <c r="J154" s="10">
        <v>21.3</v>
      </c>
      <c r="K154" s="10">
        <v>39</v>
      </c>
      <c r="L154" s="3">
        <f>+(Tabla1[[#This Row],[Tmax media (°C)]]-Tabla1[[#This Row],[Tmax media (°C) historica]])/Tabla1[[#This Row],[Tmax media (°C) historica]]*100</f>
        <v>4.9242424242424274</v>
      </c>
      <c r="M154" s="3">
        <f>+(Tabla1[[#This Row],[Tmin media (°C)]]-Tabla1[[#This Row],[Tmin media (°C) historica]])/Tabla1[[#This Row],[Tmin media (°C) historica]]*100</f>
        <v>0</v>
      </c>
      <c r="N154" s="3">
        <f>+(Tabla1[[#This Row],[Tmedia media (°C)]]-Tabla1[[#This Row],[Tmedia media (°C) historica]])/Tabla1[[#This Row],[Tmedia media (°C) historica]]*100</f>
        <v>3.9024390243902474</v>
      </c>
      <c r="O154" s="3">
        <f>+(Tabla1[[#This Row],[Prec acum (mm)]]-Tabla1[[#This Row],[Prec acum (mm) historica]])/Tabla1[[#This Row],[Prec acum (mm) historica]]*100</f>
        <v>-57.142857142857139</v>
      </c>
    </row>
    <row r="155" spans="1:15" hidden="1" x14ac:dyDescent="0.25">
      <c r="A155">
        <v>1982</v>
      </c>
      <c r="B155" t="s">
        <v>15</v>
      </c>
      <c r="C155" t="s">
        <v>29</v>
      </c>
      <c r="D155" s="6">
        <v>25.5</v>
      </c>
      <c r="E155" s="6">
        <v>13.6</v>
      </c>
      <c r="F155" s="6">
        <v>19.7</v>
      </c>
      <c r="G155" s="6">
        <v>70</v>
      </c>
      <c r="H155" s="10">
        <v>27</v>
      </c>
      <c r="I155" s="10">
        <v>13.6</v>
      </c>
      <c r="J155" s="10">
        <v>20.3</v>
      </c>
      <c r="K155" s="10">
        <v>22</v>
      </c>
      <c r="L155" s="3">
        <f>+(Tabla1[[#This Row],[Tmax media (°C)]]-Tabla1[[#This Row],[Tmax media (°C) historica]])/Tabla1[[#This Row],[Tmax media (°C) historica]]*100</f>
        <v>5.8823529411764701</v>
      </c>
      <c r="M155" s="3">
        <f>+(Tabla1[[#This Row],[Tmin media (°C)]]-Tabla1[[#This Row],[Tmin media (°C) historica]])/Tabla1[[#This Row],[Tmin media (°C) historica]]*100</f>
        <v>0</v>
      </c>
      <c r="N155" s="3">
        <f>+(Tabla1[[#This Row],[Tmedia media (°C)]]-Tabla1[[#This Row],[Tmedia media (°C) historica]])/Tabla1[[#This Row],[Tmedia media (°C) historica]]*100</f>
        <v>3.0456852791878246</v>
      </c>
      <c r="O155" s="3">
        <f>+(Tabla1[[#This Row],[Prec acum (mm)]]-Tabla1[[#This Row],[Prec acum (mm) historica]])/Tabla1[[#This Row],[Prec acum (mm) historica]]*100</f>
        <v>-68.571428571428569</v>
      </c>
    </row>
    <row r="156" spans="1:15" hidden="1" x14ac:dyDescent="0.25">
      <c r="A156">
        <v>1987</v>
      </c>
      <c r="B156" t="s">
        <v>15</v>
      </c>
      <c r="C156" t="s">
        <v>29</v>
      </c>
      <c r="D156" s="6">
        <v>25.5</v>
      </c>
      <c r="E156" s="6">
        <v>13.6</v>
      </c>
      <c r="F156" s="6">
        <v>19.7</v>
      </c>
      <c r="G156" s="6">
        <v>70</v>
      </c>
      <c r="H156" s="10">
        <v>23.7</v>
      </c>
      <c r="I156" s="10">
        <v>14.8</v>
      </c>
      <c r="J156" s="10">
        <v>19.2</v>
      </c>
      <c r="K156" s="10">
        <v>32</v>
      </c>
      <c r="L156" s="4">
        <f>+(Tabla1[[#This Row],[Tmax media (°C)]]-Tabla1[[#This Row],[Tmax media (°C) historica]])/Tabla1[[#This Row],[Tmax media (°C) historica]]*100</f>
        <v>-7.0588235294117672</v>
      </c>
      <c r="M156" s="4">
        <f>+(Tabla1[[#This Row],[Tmin media (°C)]]-Tabla1[[#This Row],[Tmin media (°C) historica]])/Tabla1[[#This Row],[Tmin media (°C) historica]]*100</f>
        <v>8.8235294117647136</v>
      </c>
      <c r="N156" s="4">
        <f>+(Tabla1[[#This Row],[Tmedia media (°C)]]-Tabla1[[#This Row],[Tmedia media (°C) historica]])/Tabla1[[#This Row],[Tmedia media (°C) historica]]*100</f>
        <v>-2.5380710659898478</v>
      </c>
      <c r="O156" s="4">
        <f>+(Tabla1[[#This Row],[Prec acum (mm)]]-Tabla1[[#This Row],[Prec acum (mm) historica]])/Tabla1[[#This Row],[Prec acum (mm) historica]]*100</f>
        <v>-54.285714285714285</v>
      </c>
    </row>
    <row r="157" spans="1:15" hidden="1" x14ac:dyDescent="0.25">
      <c r="A157">
        <v>1991</v>
      </c>
      <c r="B157" t="s">
        <v>15</v>
      </c>
      <c r="C157" t="s">
        <v>29</v>
      </c>
      <c r="D157" s="6">
        <v>25.4</v>
      </c>
      <c r="E157" s="6">
        <v>14.4</v>
      </c>
      <c r="F157" s="6">
        <v>20.100000000000001</v>
      </c>
      <c r="G157" s="6">
        <v>86</v>
      </c>
      <c r="H157" s="10">
        <v>26.5</v>
      </c>
      <c r="I157" s="10">
        <v>14.3</v>
      </c>
      <c r="J157" s="10">
        <v>20.399999999999999</v>
      </c>
      <c r="K157" s="10">
        <v>271</v>
      </c>
      <c r="L157" s="3">
        <f>+(Tabla1[[#This Row],[Tmax media (°C)]]-Tabla1[[#This Row],[Tmax media (°C) historica]])/Tabla1[[#This Row],[Tmax media (°C) historica]]*100</f>
        <v>4.3307086614173285</v>
      </c>
      <c r="M157" s="3">
        <f>+(Tabla1[[#This Row],[Tmin media (°C)]]-Tabla1[[#This Row],[Tmin media (°C) historica]])/Tabla1[[#This Row],[Tmin media (°C) historica]]*100</f>
        <v>-0.69444444444444198</v>
      </c>
      <c r="N157" s="3">
        <f>+(Tabla1[[#This Row],[Tmedia media (°C)]]-Tabla1[[#This Row],[Tmedia media (°C) historica]])/Tabla1[[#This Row],[Tmedia media (°C) historica]]*100</f>
        <v>1.4925373134328215</v>
      </c>
      <c r="O157" s="3">
        <f>+(Tabla1[[#This Row],[Prec acum (mm)]]-Tabla1[[#This Row],[Prec acum (mm) historica]])/Tabla1[[#This Row],[Prec acum (mm) historica]]*100</f>
        <v>215.11627906976742</v>
      </c>
    </row>
    <row r="158" spans="1:15" hidden="1" x14ac:dyDescent="0.25">
      <c r="A158">
        <v>1994</v>
      </c>
      <c r="B158" t="s">
        <v>15</v>
      </c>
      <c r="C158" t="s">
        <v>29</v>
      </c>
      <c r="D158" s="6">
        <v>25.4</v>
      </c>
      <c r="E158" s="6">
        <v>14.4</v>
      </c>
      <c r="F158" s="6">
        <v>20.100000000000001</v>
      </c>
      <c r="G158" s="6">
        <v>86</v>
      </c>
      <c r="H158" s="10">
        <v>23.6</v>
      </c>
      <c r="I158" s="10">
        <v>13.5</v>
      </c>
      <c r="J158" s="10">
        <v>18.5</v>
      </c>
      <c r="K158" s="10">
        <v>70</v>
      </c>
      <c r="L158" s="4">
        <f>+(Tabla1[[#This Row],[Tmax media (°C)]]-Tabla1[[#This Row],[Tmax media (°C) historica]])/Tabla1[[#This Row],[Tmax media (°C) historica]]*100</f>
        <v>-7.0866141732283356</v>
      </c>
      <c r="M158" s="4">
        <f>+(Tabla1[[#This Row],[Tmin media (°C)]]-Tabla1[[#This Row],[Tmin media (°C) historica]])/Tabla1[[#This Row],[Tmin media (°C) historica]]*100</f>
        <v>-6.2500000000000027</v>
      </c>
      <c r="N158" s="4">
        <f>+(Tabla1[[#This Row],[Tmedia media (°C)]]-Tabla1[[#This Row],[Tmedia media (°C) historica]])/Tabla1[[#This Row],[Tmedia media (°C) historica]]*100</f>
        <v>-7.9601990049751308</v>
      </c>
      <c r="O158" s="4">
        <f>+(Tabla1[[#This Row],[Prec acum (mm)]]-Tabla1[[#This Row],[Prec acum (mm) historica]])/Tabla1[[#This Row],[Prec acum (mm) historica]]*100</f>
        <v>-18.604651162790699</v>
      </c>
    </row>
    <row r="159" spans="1:15" hidden="1" x14ac:dyDescent="0.25">
      <c r="A159">
        <v>1997</v>
      </c>
      <c r="B159" t="s">
        <v>15</v>
      </c>
      <c r="C159" t="s">
        <v>29</v>
      </c>
      <c r="D159" s="6">
        <v>25.4</v>
      </c>
      <c r="E159" s="6">
        <v>14.4</v>
      </c>
      <c r="F159" s="6">
        <v>20.100000000000001</v>
      </c>
      <c r="G159" s="6">
        <v>86</v>
      </c>
      <c r="H159" s="10">
        <v>23.2</v>
      </c>
      <c r="I159" s="10">
        <v>13.5</v>
      </c>
      <c r="J159" s="10">
        <v>18.3</v>
      </c>
      <c r="K159" s="10">
        <v>47</v>
      </c>
      <c r="L159" s="3">
        <f>+(Tabla1[[#This Row],[Tmax media (°C)]]-Tabla1[[#This Row],[Tmax media (°C) historica]])/Tabla1[[#This Row],[Tmax media (°C) historica]]*100</f>
        <v>-8.6614173228346427</v>
      </c>
      <c r="M159" s="3">
        <f>+(Tabla1[[#This Row],[Tmin media (°C)]]-Tabla1[[#This Row],[Tmin media (°C) historica]])/Tabla1[[#This Row],[Tmin media (°C) historica]]*100</f>
        <v>-6.2500000000000027</v>
      </c>
      <c r="N159" s="3">
        <f>+(Tabla1[[#This Row],[Tmedia media (°C)]]-Tabla1[[#This Row],[Tmedia media (°C) historica]])/Tabla1[[#This Row],[Tmedia media (°C) historica]]*100</f>
        <v>-8.9552238805970177</v>
      </c>
      <c r="O159" s="3">
        <f>+(Tabla1[[#This Row],[Prec acum (mm)]]-Tabla1[[#This Row],[Prec acum (mm) historica]])/Tabla1[[#This Row],[Prec acum (mm) historica]]*100</f>
        <v>-45.348837209302324</v>
      </c>
    </row>
    <row r="160" spans="1:15" hidden="1" x14ac:dyDescent="0.25">
      <c r="A160">
        <v>2002</v>
      </c>
      <c r="B160" t="s">
        <v>15</v>
      </c>
      <c r="C160" t="s">
        <v>29</v>
      </c>
      <c r="D160" s="6">
        <v>25.4</v>
      </c>
      <c r="E160" s="6">
        <v>14.4</v>
      </c>
      <c r="F160" s="6">
        <v>20.100000000000001</v>
      </c>
      <c r="G160" s="6">
        <v>86</v>
      </c>
      <c r="H160" s="10">
        <v>25.9</v>
      </c>
      <c r="I160" s="10">
        <v>14.4</v>
      </c>
      <c r="J160" s="10">
        <v>20.2</v>
      </c>
      <c r="K160" s="10">
        <v>76</v>
      </c>
      <c r="L160" s="4">
        <f>+(Tabla1[[#This Row],[Tmax media (°C)]]-Tabla1[[#This Row],[Tmax media (°C) historica]])/Tabla1[[#This Row],[Tmax media (°C) historica]]*100</f>
        <v>1.9685039370078741</v>
      </c>
      <c r="M160" s="4">
        <f>+(Tabla1[[#This Row],[Tmin media (°C)]]-Tabla1[[#This Row],[Tmin media (°C) historica]])/Tabla1[[#This Row],[Tmin media (°C) historica]]*100</f>
        <v>0</v>
      </c>
      <c r="N160" s="4">
        <f>+(Tabla1[[#This Row],[Tmedia media (°C)]]-Tabla1[[#This Row],[Tmedia media (°C) historica]])/Tabla1[[#This Row],[Tmedia media (°C) historica]]*100</f>
        <v>0.49751243781093457</v>
      </c>
      <c r="O160" s="4">
        <f>+(Tabla1[[#This Row],[Prec acum (mm)]]-Tabla1[[#This Row],[Prec acum (mm) historica]])/Tabla1[[#This Row],[Prec acum (mm) historica]]*100</f>
        <v>-11.627906976744185</v>
      </c>
    </row>
    <row r="161" spans="1:15" hidden="1" x14ac:dyDescent="0.25">
      <c r="A161">
        <v>2004</v>
      </c>
      <c r="B161" t="s">
        <v>15</v>
      </c>
      <c r="C161" t="s">
        <v>29</v>
      </c>
      <c r="D161" s="6">
        <v>25.4</v>
      </c>
      <c r="E161" s="6">
        <v>14.4</v>
      </c>
      <c r="F161" s="6">
        <v>20.100000000000001</v>
      </c>
      <c r="G161" s="6">
        <v>86</v>
      </c>
      <c r="H161" s="10">
        <v>25.4</v>
      </c>
      <c r="I161" s="10">
        <v>15.3</v>
      </c>
      <c r="J161" s="10">
        <v>20.399999999999999</v>
      </c>
      <c r="K161" s="10">
        <v>123</v>
      </c>
      <c r="L161" s="3">
        <f>+(Tabla1[[#This Row],[Tmax media (°C)]]-Tabla1[[#This Row],[Tmax media (°C) historica]])/Tabla1[[#This Row],[Tmax media (°C) historica]]*100</f>
        <v>0</v>
      </c>
      <c r="M161" s="3">
        <f>+(Tabla1[[#This Row],[Tmin media (°C)]]-Tabla1[[#This Row],[Tmin media (°C) historica]])/Tabla1[[#This Row],[Tmin media (°C) historica]]*100</f>
        <v>6.2500000000000027</v>
      </c>
      <c r="N161" s="3">
        <f>+(Tabla1[[#This Row],[Tmedia media (°C)]]-Tabla1[[#This Row],[Tmedia media (°C) historica]])/Tabla1[[#This Row],[Tmedia media (°C) historica]]*100</f>
        <v>1.4925373134328215</v>
      </c>
      <c r="O161" s="3">
        <f>+(Tabla1[[#This Row],[Prec acum (mm)]]-Tabla1[[#This Row],[Prec acum (mm) historica]])/Tabla1[[#This Row],[Prec acum (mm) historica]]*100</f>
        <v>43.02325581395349</v>
      </c>
    </row>
    <row r="162" spans="1:15" hidden="1" x14ac:dyDescent="0.25">
      <c r="A162">
        <v>2015</v>
      </c>
      <c r="B162" t="s">
        <v>15</v>
      </c>
      <c r="C162" t="s">
        <v>29</v>
      </c>
      <c r="D162" s="6">
        <v>25.4</v>
      </c>
      <c r="E162" s="6">
        <v>14.4</v>
      </c>
      <c r="F162" s="6">
        <v>20.100000000000001</v>
      </c>
      <c r="G162" s="6">
        <v>86</v>
      </c>
      <c r="H162" s="10">
        <v>26.7</v>
      </c>
      <c r="I162" s="10">
        <v>15.6</v>
      </c>
      <c r="J162" s="10">
        <v>21.2</v>
      </c>
      <c r="K162" s="10">
        <v>169</v>
      </c>
      <c r="L162" s="4">
        <f>+(Tabla1[[#This Row],[Tmax media (°C)]]-Tabla1[[#This Row],[Tmax media (°C) historica]])/Tabla1[[#This Row],[Tmax media (°C) historica]]*100</f>
        <v>5.1181102362204758</v>
      </c>
      <c r="M162" s="4">
        <f>+(Tabla1[[#This Row],[Tmin media (°C)]]-Tabla1[[#This Row],[Tmin media (°C) historica]])/Tabla1[[#This Row],[Tmin media (°C) historica]]*100</f>
        <v>8.3333333333333286</v>
      </c>
      <c r="N162" s="4">
        <f>+(Tabla1[[#This Row],[Tmedia media (°C)]]-Tabla1[[#This Row],[Tmedia media (°C) historica]])/Tabla1[[#This Row],[Tmedia media (°C) historica]]*100</f>
        <v>5.4726368159203869</v>
      </c>
      <c r="O162" s="4">
        <f>+(Tabla1[[#This Row],[Prec acum (mm)]]-Tabla1[[#This Row],[Prec acum (mm) historica]])/Tabla1[[#This Row],[Prec acum (mm) historica]]*100</f>
        <v>96.511627906976756</v>
      </c>
    </row>
    <row r="163" spans="1:15" hidden="1" x14ac:dyDescent="0.25">
      <c r="A163">
        <v>2023</v>
      </c>
      <c r="B163" t="s">
        <v>15</v>
      </c>
      <c r="C163" t="s">
        <v>29</v>
      </c>
      <c r="D163" s="6">
        <v>25.4</v>
      </c>
      <c r="E163" s="6">
        <v>14.4</v>
      </c>
      <c r="F163" s="6">
        <v>20.100000000000001</v>
      </c>
      <c r="G163" s="6">
        <v>86</v>
      </c>
      <c r="H163" s="10">
        <v>26.4</v>
      </c>
      <c r="I163" s="10">
        <v>16.7</v>
      </c>
      <c r="J163" s="10">
        <v>21.5</v>
      </c>
      <c r="K163" s="10">
        <v>114</v>
      </c>
      <c r="L163" s="3">
        <f>+(Tabla1[[#This Row],[Tmax media (°C)]]-Tabla1[[#This Row],[Tmax media (°C) historica]])/Tabla1[[#This Row],[Tmax media (°C) historica]]*100</f>
        <v>3.9370078740157481</v>
      </c>
      <c r="M163" s="3">
        <f>+(Tabla1[[#This Row],[Tmin media (°C)]]-Tabla1[[#This Row],[Tmin media (°C) historica]])/Tabla1[[#This Row],[Tmin media (°C) historica]]*100</f>
        <v>15.972222222222216</v>
      </c>
      <c r="N163" s="3">
        <f>+(Tabla1[[#This Row],[Tmedia media (°C)]]-Tabla1[[#This Row],[Tmedia media (°C) historica]])/Tabla1[[#This Row],[Tmedia media (°C) historica]]*100</f>
        <v>6.9651741293532261</v>
      </c>
      <c r="O163" s="3">
        <f>+(Tabla1[[#This Row],[Prec acum (mm)]]-Tabla1[[#This Row],[Prec acum (mm) historica]])/Tabla1[[#This Row],[Prec acum (mm) historica]]*100</f>
        <v>32.558139534883722</v>
      </c>
    </row>
    <row r="164" spans="1:15" hidden="1" x14ac:dyDescent="0.25">
      <c r="A164">
        <v>1982</v>
      </c>
      <c r="B164" t="s">
        <v>16</v>
      </c>
      <c r="C164" t="s">
        <v>21</v>
      </c>
      <c r="D164" s="6">
        <v>12.8</v>
      </c>
      <c r="E164" s="6">
        <v>3.1</v>
      </c>
      <c r="F164" s="6">
        <v>7.9</v>
      </c>
      <c r="G164" s="6">
        <v>32</v>
      </c>
      <c r="H164" s="10">
        <v>11.4</v>
      </c>
      <c r="I164" s="10">
        <v>3.3</v>
      </c>
      <c r="J164" s="10">
        <v>7.4</v>
      </c>
      <c r="K164" s="10">
        <v>49</v>
      </c>
      <c r="L164" s="3">
        <f>+(Tabla1[[#This Row],[Tmax media (°C)]]-Tabla1[[#This Row],[Tmax media (°C) historica]])/Tabla1[[#This Row],[Tmax media (°C) historica]]*100</f>
        <v>-10.937500000000004</v>
      </c>
      <c r="M164" s="3">
        <f>+(Tabla1[[#This Row],[Tmin media (°C)]]-Tabla1[[#This Row],[Tmin media (°C) historica]])/Tabla1[[#This Row],[Tmin media (°C) historica]]*100</f>
        <v>6.4516129032257981</v>
      </c>
      <c r="N164" s="3">
        <f>+(Tabla1[[#This Row],[Tmedia media (°C)]]-Tabla1[[#This Row],[Tmedia media (°C) historica]])/Tabla1[[#This Row],[Tmedia media (°C) historica]]*100</f>
        <v>-6.329113924050632</v>
      </c>
      <c r="O164" s="3">
        <f>+(Tabla1[[#This Row],[Prec acum (mm)]]-Tabla1[[#This Row],[Prec acum (mm) historica]])/Tabla1[[#This Row],[Prec acum (mm) historica]]*100</f>
        <v>53.125</v>
      </c>
    </row>
    <row r="165" spans="1:15" hidden="1" x14ac:dyDescent="0.25">
      <c r="A165">
        <v>1987</v>
      </c>
      <c r="B165" t="s">
        <v>16</v>
      </c>
      <c r="C165" t="s">
        <v>21</v>
      </c>
      <c r="D165" s="6">
        <v>12.8</v>
      </c>
      <c r="E165" s="6">
        <v>3.1</v>
      </c>
      <c r="F165" s="6">
        <v>7.9</v>
      </c>
      <c r="G165" s="6">
        <v>32</v>
      </c>
      <c r="H165" s="10">
        <v>14.6</v>
      </c>
      <c r="I165" s="10">
        <v>2.2999999999999998</v>
      </c>
      <c r="J165" s="10">
        <v>8.5</v>
      </c>
      <c r="K165" s="10">
        <v>32</v>
      </c>
      <c r="L165" s="4">
        <f>+(Tabla1[[#This Row],[Tmax media (°C)]]-Tabla1[[#This Row],[Tmax media (°C) historica]])/Tabla1[[#This Row],[Tmax media (°C) historica]]*100</f>
        <v>14.062499999999991</v>
      </c>
      <c r="M165" s="4">
        <f>+(Tabla1[[#This Row],[Tmin media (°C)]]-Tabla1[[#This Row],[Tmin media (°C) historica]])/Tabla1[[#This Row],[Tmin media (°C) historica]]*100</f>
        <v>-25.806451612903235</v>
      </c>
      <c r="N165" s="4">
        <f>+(Tabla1[[#This Row],[Tmedia media (°C)]]-Tabla1[[#This Row],[Tmedia media (°C) historica]])/Tabla1[[#This Row],[Tmedia media (°C) historica]]*100</f>
        <v>7.5949367088607538</v>
      </c>
      <c r="O165" s="4">
        <f>+(Tabla1[[#This Row],[Prec acum (mm)]]-Tabla1[[#This Row],[Prec acum (mm) historica]])/Tabla1[[#This Row],[Prec acum (mm) historica]]*100</f>
        <v>0</v>
      </c>
    </row>
    <row r="166" spans="1:15" hidden="1" x14ac:dyDescent="0.25">
      <c r="A166">
        <v>1991</v>
      </c>
      <c r="B166" t="s">
        <v>16</v>
      </c>
      <c r="C166" t="s">
        <v>21</v>
      </c>
      <c r="D166" s="6">
        <v>13.4</v>
      </c>
      <c r="E166" s="6">
        <v>2.1</v>
      </c>
      <c r="F166" s="6">
        <v>7.9</v>
      </c>
      <c r="G166" s="6">
        <v>37</v>
      </c>
      <c r="H166" s="10">
        <v>11.9</v>
      </c>
      <c r="I166" s="10">
        <v>1.8</v>
      </c>
      <c r="J166" s="10">
        <v>6.9</v>
      </c>
      <c r="K166" s="10">
        <v>139</v>
      </c>
      <c r="L166" s="3">
        <f>+(Tabla1[[#This Row],[Tmax media (°C)]]-Tabla1[[#This Row],[Tmax media (°C) historica]])/Tabla1[[#This Row],[Tmax media (°C) historica]]*100</f>
        <v>-11.194029850746269</v>
      </c>
      <c r="M166" s="3">
        <f>+(Tabla1[[#This Row],[Tmin media (°C)]]-Tabla1[[#This Row],[Tmin media (°C) historica]])/Tabla1[[#This Row],[Tmin media (°C) historica]]*100</f>
        <v>-14.285714285714288</v>
      </c>
      <c r="N166" s="3">
        <f>+(Tabla1[[#This Row],[Tmedia media (°C)]]-Tabla1[[#This Row],[Tmedia media (°C) historica]])/Tabla1[[#This Row],[Tmedia media (°C) historica]]*100</f>
        <v>-12.658227848101264</v>
      </c>
      <c r="O166" s="3">
        <f>+(Tabla1[[#This Row],[Prec acum (mm)]]-Tabla1[[#This Row],[Prec acum (mm) historica]])/Tabla1[[#This Row],[Prec acum (mm) historica]]*100</f>
        <v>275.67567567567568</v>
      </c>
    </row>
    <row r="167" spans="1:15" hidden="1" x14ac:dyDescent="0.25">
      <c r="A167">
        <v>1994</v>
      </c>
      <c r="B167" t="s">
        <v>16</v>
      </c>
      <c r="C167" t="s">
        <v>21</v>
      </c>
      <c r="D167" s="6">
        <v>13.4</v>
      </c>
      <c r="E167" s="6">
        <v>2.1</v>
      </c>
      <c r="F167" s="6">
        <v>7.9</v>
      </c>
      <c r="G167" s="6">
        <v>37</v>
      </c>
      <c r="H167" s="10">
        <v>13.4</v>
      </c>
      <c r="I167" s="10">
        <v>3.1</v>
      </c>
      <c r="J167" s="10">
        <v>8.1999999999999993</v>
      </c>
      <c r="K167" s="10">
        <v>36</v>
      </c>
      <c r="L167" s="4">
        <f>+(Tabla1[[#This Row],[Tmax media (°C)]]-Tabla1[[#This Row],[Tmax media (°C) historica]])/Tabla1[[#This Row],[Tmax media (°C) historica]]*100</f>
        <v>0</v>
      </c>
      <c r="M167" s="4">
        <f>+(Tabla1[[#This Row],[Tmin media (°C)]]-Tabla1[[#This Row],[Tmin media (°C) historica]])/Tabla1[[#This Row],[Tmin media (°C) historica]]*100</f>
        <v>47.619047619047613</v>
      </c>
      <c r="N167" s="4">
        <f>+(Tabla1[[#This Row],[Tmedia media (°C)]]-Tabla1[[#This Row],[Tmedia media (°C) historica]])/Tabla1[[#This Row],[Tmedia media (°C) historica]]*100</f>
        <v>3.7974683544303658</v>
      </c>
      <c r="O167" s="4">
        <f>+(Tabla1[[#This Row],[Prec acum (mm)]]-Tabla1[[#This Row],[Prec acum (mm) historica]])/Tabla1[[#This Row],[Prec acum (mm) historica]]*100</f>
        <v>-2.7027027027027026</v>
      </c>
    </row>
    <row r="168" spans="1:15" hidden="1" x14ac:dyDescent="0.25">
      <c r="A168">
        <v>1997</v>
      </c>
      <c r="B168" t="s">
        <v>16</v>
      </c>
      <c r="C168" t="s">
        <v>21</v>
      </c>
      <c r="D168" s="6">
        <v>13.4</v>
      </c>
      <c r="E168" s="6">
        <v>2.1</v>
      </c>
      <c r="F168" s="6">
        <v>7.9</v>
      </c>
      <c r="G168" s="6">
        <v>37</v>
      </c>
      <c r="H168" s="10">
        <v>12.8</v>
      </c>
      <c r="I168" s="10">
        <v>4.7</v>
      </c>
      <c r="J168" s="10">
        <v>8.6999999999999993</v>
      </c>
      <c r="K168" s="10">
        <v>87</v>
      </c>
      <c r="L168" s="3">
        <f>+(Tabla1[[#This Row],[Tmax media (°C)]]-Tabla1[[#This Row],[Tmax media (°C) historica]])/Tabla1[[#This Row],[Tmax media (°C) historica]]*100</f>
        <v>-4.4776119402985044</v>
      </c>
      <c r="M168" s="3">
        <f>+(Tabla1[[#This Row],[Tmin media (°C)]]-Tabla1[[#This Row],[Tmin media (°C) historica]])/Tabla1[[#This Row],[Tmin media (°C) historica]]*100</f>
        <v>123.80952380952381</v>
      </c>
      <c r="N168" s="3">
        <f>+(Tabla1[[#This Row],[Tmedia media (°C)]]-Tabla1[[#This Row],[Tmedia media (°C) historica]])/Tabla1[[#This Row],[Tmedia media (°C) historica]]*100</f>
        <v>10.126582278480999</v>
      </c>
      <c r="O168" s="3">
        <f>+(Tabla1[[#This Row],[Prec acum (mm)]]-Tabla1[[#This Row],[Prec acum (mm) historica]])/Tabla1[[#This Row],[Prec acum (mm) historica]]*100</f>
        <v>135.13513513513513</v>
      </c>
    </row>
    <row r="169" spans="1:15" hidden="1" x14ac:dyDescent="0.25">
      <c r="A169">
        <v>2002</v>
      </c>
      <c r="B169" t="s">
        <v>16</v>
      </c>
      <c r="C169" t="s">
        <v>21</v>
      </c>
      <c r="D169" s="6">
        <v>13.4</v>
      </c>
      <c r="E169" s="6">
        <v>2.1</v>
      </c>
      <c r="F169" s="6">
        <v>7.9</v>
      </c>
      <c r="G169" s="6">
        <v>37</v>
      </c>
      <c r="H169" s="10">
        <v>12.1</v>
      </c>
      <c r="I169" s="10">
        <v>0.5</v>
      </c>
      <c r="J169" s="10">
        <v>6.3</v>
      </c>
      <c r="K169" s="10">
        <v>6</v>
      </c>
      <c r="L169" s="4">
        <f>+(Tabla1[[#This Row],[Tmax media (°C)]]-Tabla1[[#This Row],[Tmax media (°C) historica]])/Tabla1[[#This Row],[Tmax media (°C) historica]]*100</f>
        <v>-9.7014925373134364</v>
      </c>
      <c r="M169" s="4">
        <f>+(Tabla1[[#This Row],[Tmin media (°C)]]-Tabla1[[#This Row],[Tmin media (°C) historica]])/Tabla1[[#This Row],[Tmin media (°C) historica]]*100</f>
        <v>-76.19047619047619</v>
      </c>
      <c r="N169" s="4">
        <f>+(Tabla1[[#This Row],[Tmedia media (°C)]]-Tabla1[[#This Row],[Tmedia media (°C) historica]])/Tabla1[[#This Row],[Tmedia media (°C) historica]]*100</f>
        <v>-20.25316455696203</v>
      </c>
      <c r="O169" s="4">
        <f>+(Tabla1[[#This Row],[Prec acum (mm)]]-Tabla1[[#This Row],[Prec acum (mm) historica]])/Tabla1[[#This Row],[Prec acum (mm) historica]]*100</f>
        <v>-83.78378378378379</v>
      </c>
    </row>
    <row r="170" spans="1:15" hidden="1" x14ac:dyDescent="0.25">
      <c r="A170">
        <v>2004</v>
      </c>
      <c r="B170" t="s">
        <v>16</v>
      </c>
      <c r="C170" t="s">
        <v>21</v>
      </c>
      <c r="D170" s="6">
        <v>13.4</v>
      </c>
      <c r="E170" s="6">
        <v>2.1</v>
      </c>
      <c r="F170" s="6">
        <v>7.9</v>
      </c>
      <c r="G170" s="6">
        <v>37</v>
      </c>
      <c r="H170" s="10">
        <v>14.8</v>
      </c>
      <c r="I170" s="10">
        <v>2.1</v>
      </c>
      <c r="J170" s="10">
        <v>8.5</v>
      </c>
      <c r="K170" s="10">
        <v>30</v>
      </c>
      <c r="L170" s="3">
        <f>+(Tabla1[[#This Row],[Tmax media (°C)]]-Tabla1[[#This Row],[Tmax media (°C) historica]])/Tabla1[[#This Row],[Tmax media (°C) historica]]*100</f>
        <v>10.447761194029853</v>
      </c>
      <c r="M170" s="3">
        <f>+(Tabla1[[#This Row],[Tmin media (°C)]]-Tabla1[[#This Row],[Tmin media (°C) historica]])/Tabla1[[#This Row],[Tmin media (°C) historica]]*100</f>
        <v>0</v>
      </c>
      <c r="N170" s="3">
        <f>+(Tabla1[[#This Row],[Tmedia media (°C)]]-Tabla1[[#This Row],[Tmedia media (°C) historica]])/Tabla1[[#This Row],[Tmedia media (°C) historica]]*100</f>
        <v>7.5949367088607538</v>
      </c>
      <c r="O170" s="3">
        <f>+(Tabla1[[#This Row],[Prec acum (mm)]]-Tabla1[[#This Row],[Prec acum (mm) historica]])/Tabla1[[#This Row],[Prec acum (mm) historica]]*100</f>
        <v>-18.918918918918919</v>
      </c>
    </row>
    <row r="171" spans="1:15" hidden="1" x14ac:dyDescent="0.25">
      <c r="A171">
        <v>2015</v>
      </c>
      <c r="B171" t="s">
        <v>16</v>
      </c>
      <c r="C171" t="s">
        <v>21</v>
      </c>
      <c r="D171" s="6">
        <v>13.4</v>
      </c>
      <c r="E171" s="6">
        <v>2.1</v>
      </c>
      <c r="F171" s="6">
        <v>7.9</v>
      </c>
      <c r="G171" s="6">
        <v>37</v>
      </c>
      <c r="H171" s="10">
        <v>14.9</v>
      </c>
      <c r="I171" s="10">
        <v>2.2000000000000002</v>
      </c>
      <c r="J171" s="10">
        <v>8.5</v>
      </c>
      <c r="K171" s="10">
        <v>39</v>
      </c>
      <c r="L171" s="4">
        <f>+(Tabla1[[#This Row],[Tmax media (°C)]]-Tabla1[[#This Row],[Tmax media (°C) historica]])/Tabla1[[#This Row],[Tmax media (°C) historica]]*100</f>
        <v>11.194029850746269</v>
      </c>
      <c r="M171" s="4">
        <f>+(Tabla1[[#This Row],[Tmin media (°C)]]-Tabla1[[#This Row],[Tmin media (°C) historica]])/Tabla1[[#This Row],[Tmin media (°C) historica]]*100</f>
        <v>4.7619047619047654</v>
      </c>
      <c r="N171" s="4">
        <f>+(Tabla1[[#This Row],[Tmedia media (°C)]]-Tabla1[[#This Row],[Tmedia media (°C) historica]])/Tabla1[[#This Row],[Tmedia media (°C) historica]]*100</f>
        <v>7.5949367088607538</v>
      </c>
      <c r="O171" s="4">
        <f>+(Tabla1[[#This Row],[Prec acum (mm)]]-Tabla1[[#This Row],[Prec acum (mm) historica]])/Tabla1[[#This Row],[Prec acum (mm) historica]]*100</f>
        <v>5.4054054054054053</v>
      </c>
    </row>
    <row r="172" spans="1:15" hidden="1" x14ac:dyDescent="0.25">
      <c r="A172">
        <v>2023</v>
      </c>
      <c r="B172" t="s">
        <v>16</v>
      </c>
      <c r="C172" t="s">
        <v>21</v>
      </c>
      <c r="D172" s="6">
        <v>13.4</v>
      </c>
      <c r="E172" s="6">
        <v>2.1</v>
      </c>
      <c r="F172" s="6">
        <v>7.9</v>
      </c>
      <c r="G172" s="6">
        <v>37</v>
      </c>
      <c r="H172" s="10">
        <v>13.8</v>
      </c>
      <c r="I172" s="10">
        <v>1.5</v>
      </c>
      <c r="J172" s="10">
        <v>7.7</v>
      </c>
      <c r="K172" s="10">
        <v>36</v>
      </c>
      <c r="L172" s="3">
        <f>+(Tabla1[[#This Row],[Tmax media (°C)]]-Tabla1[[#This Row],[Tmax media (°C) historica]])/Tabla1[[#This Row],[Tmax media (°C) historica]]*100</f>
        <v>2.9850746268656745</v>
      </c>
      <c r="M172" s="3">
        <f>+(Tabla1[[#This Row],[Tmin media (°C)]]-Tabla1[[#This Row],[Tmin media (°C) historica]])/Tabla1[[#This Row],[Tmin media (°C) historica]]*100</f>
        <v>-28.571428571428577</v>
      </c>
      <c r="N172" s="3">
        <f>+(Tabla1[[#This Row],[Tmedia media (°C)]]-Tabla1[[#This Row],[Tmedia media (°C) historica]])/Tabla1[[#This Row],[Tmedia media (°C) historica]]*100</f>
        <v>-2.5316455696202551</v>
      </c>
      <c r="O172" s="3">
        <f>+(Tabla1[[#This Row],[Prec acum (mm)]]-Tabla1[[#This Row],[Prec acum (mm) historica]])/Tabla1[[#This Row],[Prec acum (mm) historica]]*100</f>
        <v>-2.7027027027027026</v>
      </c>
    </row>
    <row r="173" spans="1:15" hidden="1" x14ac:dyDescent="0.25">
      <c r="A173">
        <v>1982</v>
      </c>
      <c r="B173" t="s">
        <v>16</v>
      </c>
      <c r="C173" t="s">
        <v>22</v>
      </c>
      <c r="D173" s="6">
        <v>12.2</v>
      </c>
      <c r="E173" s="6">
        <v>2.1</v>
      </c>
      <c r="F173" s="6">
        <v>6.9</v>
      </c>
      <c r="G173" s="6">
        <v>29</v>
      </c>
      <c r="H173" s="10">
        <v>11.2</v>
      </c>
      <c r="I173" s="10">
        <v>3.1</v>
      </c>
      <c r="J173" s="10">
        <v>7.1</v>
      </c>
      <c r="K173" s="10">
        <v>40</v>
      </c>
      <c r="L173" s="3">
        <f>+(Tabla1[[#This Row],[Tmax media (°C)]]-Tabla1[[#This Row],[Tmax media (°C) historica]])/Tabla1[[#This Row],[Tmax media (°C) historica]]*100</f>
        <v>-8.1967213114754109</v>
      </c>
      <c r="M173" s="3">
        <f>+(Tabla1[[#This Row],[Tmin media (°C)]]-Tabla1[[#This Row],[Tmin media (°C) historica]])/Tabla1[[#This Row],[Tmin media (°C) historica]]*100</f>
        <v>47.619047619047613</v>
      </c>
      <c r="N173" s="3">
        <f>+(Tabla1[[#This Row],[Tmedia media (°C)]]-Tabla1[[#This Row],[Tmedia media (°C) historica]])/Tabla1[[#This Row],[Tmedia media (°C) historica]]*100</f>
        <v>2.8985507246376709</v>
      </c>
      <c r="O173" s="3">
        <f>+(Tabla1[[#This Row],[Prec acum (mm)]]-Tabla1[[#This Row],[Prec acum (mm) historica]])/Tabla1[[#This Row],[Prec acum (mm) historica]]*100</f>
        <v>37.931034482758619</v>
      </c>
    </row>
    <row r="174" spans="1:15" hidden="1" x14ac:dyDescent="0.25">
      <c r="A174">
        <v>1987</v>
      </c>
      <c r="B174" t="s">
        <v>16</v>
      </c>
      <c r="C174" t="s">
        <v>22</v>
      </c>
      <c r="D174" s="6">
        <v>12.2</v>
      </c>
      <c r="E174" s="6">
        <v>2.1</v>
      </c>
      <c r="F174" s="6">
        <v>6.9</v>
      </c>
      <c r="G174" s="6">
        <v>29</v>
      </c>
      <c r="H174" s="10">
        <v>13.3</v>
      </c>
      <c r="I174" s="10">
        <v>4.4000000000000004</v>
      </c>
      <c r="J174" s="10">
        <v>8.8000000000000007</v>
      </c>
      <c r="K174" s="10">
        <v>108</v>
      </c>
      <c r="L174" s="4">
        <f>+(Tabla1[[#This Row],[Tmax media (°C)]]-Tabla1[[#This Row],[Tmax media (°C) historica]])/Tabla1[[#This Row],[Tmax media (°C) historica]]*100</f>
        <v>9.0163934426229631</v>
      </c>
      <c r="M174" s="4">
        <f>+(Tabla1[[#This Row],[Tmin media (°C)]]-Tabla1[[#This Row],[Tmin media (°C) historica]])/Tabla1[[#This Row],[Tmin media (°C) historica]]*100</f>
        <v>109.52380952380953</v>
      </c>
      <c r="N174" s="4">
        <f>+(Tabla1[[#This Row],[Tmedia media (°C)]]-Tabla1[[#This Row],[Tmedia media (°C) historica]])/Tabla1[[#This Row],[Tmedia media (°C) historica]]*100</f>
        <v>27.536231884057976</v>
      </c>
      <c r="O174" s="4">
        <f>+(Tabla1[[#This Row],[Prec acum (mm)]]-Tabla1[[#This Row],[Prec acum (mm) historica]])/Tabla1[[#This Row],[Prec acum (mm) historica]]*100</f>
        <v>272.41379310344826</v>
      </c>
    </row>
    <row r="175" spans="1:15" hidden="1" x14ac:dyDescent="0.25">
      <c r="A175">
        <v>1991</v>
      </c>
      <c r="B175" t="s">
        <v>16</v>
      </c>
      <c r="C175" t="s">
        <v>22</v>
      </c>
      <c r="D175" s="6">
        <v>12.3</v>
      </c>
      <c r="E175" s="6">
        <v>1.2</v>
      </c>
      <c r="F175" s="6">
        <v>6.7</v>
      </c>
      <c r="G175" s="6">
        <v>36</v>
      </c>
      <c r="H175" s="10">
        <v>11.7</v>
      </c>
      <c r="I175" s="10">
        <v>1</v>
      </c>
      <c r="J175" s="10">
        <v>6.3</v>
      </c>
      <c r="K175" s="10">
        <v>13</v>
      </c>
      <c r="L175" s="3">
        <f>+(Tabla1[[#This Row],[Tmax media (°C)]]-Tabla1[[#This Row],[Tmax media (°C) historica]])/Tabla1[[#This Row],[Tmax media (°C) historica]]*100</f>
        <v>-4.8780487804878163</v>
      </c>
      <c r="M175" s="3">
        <f>+(Tabla1[[#This Row],[Tmin media (°C)]]-Tabla1[[#This Row],[Tmin media (°C) historica]])/Tabla1[[#This Row],[Tmin media (°C) historica]]*100</f>
        <v>-16.666666666666664</v>
      </c>
      <c r="N175" s="3">
        <f>+(Tabla1[[#This Row],[Tmedia media (°C)]]-Tabla1[[#This Row],[Tmedia media (°C) historica]])/Tabla1[[#This Row],[Tmedia media (°C) historica]]*100</f>
        <v>-5.970149253731349</v>
      </c>
      <c r="O175" s="3">
        <f>+(Tabla1[[#This Row],[Prec acum (mm)]]-Tabla1[[#This Row],[Prec acum (mm) historica]])/Tabla1[[#This Row],[Prec acum (mm) historica]]*100</f>
        <v>-63.888888888888886</v>
      </c>
    </row>
    <row r="176" spans="1:15" hidden="1" x14ac:dyDescent="0.25">
      <c r="A176">
        <v>1994</v>
      </c>
      <c r="B176" t="s">
        <v>16</v>
      </c>
      <c r="C176" t="s">
        <v>22</v>
      </c>
      <c r="D176" s="6">
        <v>12.3</v>
      </c>
      <c r="E176" s="6">
        <v>1.2</v>
      </c>
      <c r="F176" s="6">
        <v>6.7</v>
      </c>
      <c r="G176" s="6">
        <v>36</v>
      </c>
      <c r="H176" s="10">
        <v>12.2</v>
      </c>
      <c r="I176" s="10">
        <v>0.3</v>
      </c>
      <c r="J176" s="10">
        <v>6.3</v>
      </c>
      <c r="K176" s="10">
        <v>61</v>
      </c>
      <c r="L176" s="4">
        <f>+(Tabla1[[#This Row],[Tmax media (°C)]]-Tabla1[[#This Row],[Tmax media (°C) historica]])/Tabla1[[#This Row],[Tmax media (°C) historica]]*100</f>
        <v>-0.81300813008131234</v>
      </c>
      <c r="M176" s="4">
        <f>+(Tabla1[[#This Row],[Tmin media (°C)]]-Tabla1[[#This Row],[Tmin media (°C) historica]])/Tabla1[[#This Row],[Tmin media (°C) historica]]*100</f>
        <v>-75</v>
      </c>
      <c r="N176" s="4">
        <f>+(Tabla1[[#This Row],[Tmedia media (°C)]]-Tabla1[[#This Row],[Tmedia media (°C) historica]])/Tabla1[[#This Row],[Tmedia media (°C) historica]]*100</f>
        <v>-5.970149253731349</v>
      </c>
      <c r="O176" s="4">
        <f>+(Tabla1[[#This Row],[Prec acum (mm)]]-Tabla1[[#This Row],[Prec acum (mm) historica]])/Tabla1[[#This Row],[Prec acum (mm) historica]]*100</f>
        <v>69.444444444444443</v>
      </c>
    </row>
    <row r="177" spans="1:15" hidden="1" x14ac:dyDescent="0.25">
      <c r="A177">
        <v>1997</v>
      </c>
      <c r="B177" t="s">
        <v>16</v>
      </c>
      <c r="C177" t="s">
        <v>22</v>
      </c>
      <c r="D177" s="6">
        <v>12.3</v>
      </c>
      <c r="E177" s="6">
        <v>1.2</v>
      </c>
      <c r="F177" s="6">
        <v>6.7</v>
      </c>
      <c r="G177" s="6">
        <v>36</v>
      </c>
      <c r="H177" s="10">
        <v>13.7</v>
      </c>
      <c r="I177" s="10">
        <v>3.5</v>
      </c>
      <c r="J177" s="10">
        <v>8.6</v>
      </c>
      <c r="K177" s="10">
        <v>36</v>
      </c>
      <c r="L177" s="3">
        <f>+(Tabla1[[#This Row],[Tmax media (°C)]]-Tabla1[[#This Row],[Tmax media (°C) historica]])/Tabla1[[#This Row],[Tmax media (°C) historica]]*100</f>
        <v>11.3821138211382</v>
      </c>
      <c r="M177" s="3">
        <f>+(Tabla1[[#This Row],[Tmin media (°C)]]-Tabla1[[#This Row],[Tmin media (°C) historica]])/Tabla1[[#This Row],[Tmin media (°C) historica]]*100</f>
        <v>191.66666666666666</v>
      </c>
      <c r="N177" s="3">
        <f>+(Tabla1[[#This Row],[Tmedia media (°C)]]-Tabla1[[#This Row],[Tmedia media (°C) historica]])/Tabla1[[#This Row],[Tmedia media (°C) historica]]*100</f>
        <v>28.358208955223873</v>
      </c>
      <c r="O177" s="3">
        <f>+(Tabla1[[#This Row],[Prec acum (mm)]]-Tabla1[[#This Row],[Prec acum (mm) historica]])/Tabla1[[#This Row],[Prec acum (mm) historica]]*100</f>
        <v>0</v>
      </c>
    </row>
    <row r="178" spans="1:15" hidden="1" x14ac:dyDescent="0.25">
      <c r="A178">
        <v>2002</v>
      </c>
      <c r="B178" t="s">
        <v>16</v>
      </c>
      <c r="C178" t="s">
        <v>22</v>
      </c>
      <c r="D178" s="6">
        <v>12.3</v>
      </c>
      <c r="E178" s="6">
        <v>1.2</v>
      </c>
      <c r="F178" s="6">
        <v>6.7</v>
      </c>
      <c r="G178" s="6">
        <v>36</v>
      </c>
      <c r="H178" s="10">
        <v>12.2</v>
      </c>
      <c r="I178" s="10">
        <v>1.7</v>
      </c>
      <c r="J178" s="10">
        <v>7</v>
      </c>
      <c r="K178" s="10">
        <v>48</v>
      </c>
      <c r="L178" s="4">
        <f>+(Tabla1[[#This Row],[Tmax media (°C)]]-Tabla1[[#This Row],[Tmax media (°C) historica]])/Tabla1[[#This Row],[Tmax media (°C) historica]]*100</f>
        <v>-0.81300813008131234</v>
      </c>
      <c r="M178" s="4">
        <f>+(Tabla1[[#This Row],[Tmin media (°C)]]-Tabla1[[#This Row],[Tmin media (°C) historica]])/Tabla1[[#This Row],[Tmin media (°C) historica]]*100</f>
        <v>41.666666666666671</v>
      </c>
      <c r="N178" s="4">
        <f>+(Tabla1[[#This Row],[Tmedia media (°C)]]-Tabla1[[#This Row],[Tmedia media (°C) historica]])/Tabla1[[#This Row],[Tmedia media (°C) historica]]*100</f>
        <v>4.4776119402985044</v>
      </c>
      <c r="O178" s="4">
        <f>+(Tabla1[[#This Row],[Prec acum (mm)]]-Tabla1[[#This Row],[Prec acum (mm) historica]])/Tabla1[[#This Row],[Prec acum (mm) historica]]*100</f>
        <v>33.333333333333329</v>
      </c>
    </row>
    <row r="179" spans="1:15" hidden="1" x14ac:dyDescent="0.25">
      <c r="A179">
        <v>2004</v>
      </c>
      <c r="B179" t="s">
        <v>16</v>
      </c>
      <c r="C179" t="s">
        <v>22</v>
      </c>
      <c r="D179" s="6">
        <v>12.3</v>
      </c>
      <c r="E179" s="6">
        <v>1.2</v>
      </c>
      <c r="F179" s="6">
        <v>6.7</v>
      </c>
      <c r="G179" s="6">
        <v>36</v>
      </c>
      <c r="H179" s="10">
        <v>12.8</v>
      </c>
      <c r="I179" s="10">
        <v>1.9</v>
      </c>
      <c r="J179" s="10">
        <v>7.3</v>
      </c>
      <c r="K179" s="10">
        <v>98</v>
      </c>
      <c r="L179" s="3">
        <f>+(Tabla1[[#This Row],[Tmax media (°C)]]-Tabla1[[#This Row],[Tmax media (°C) historica]])/Tabla1[[#This Row],[Tmax media (°C) historica]]*100</f>
        <v>4.0650406504065035</v>
      </c>
      <c r="M179" s="3">
        <f>+(Tabla1[[#This Row],[Tmin media (°C)]]-Tabla1[[#This Row],[Tmin media (°C) historica]])/Tabla1[[#This Row],[Tmin media (°C) historica]]*100</f>
        <v>58.333333333333336</v>
      </c>
      <c r="N179" s="3">
        <f>+(Tabla1[[#This Row],[Tmedia media (°C)]]-Tabla1[[#This Row],[Tmedia media (°C) historica]])/Tabla1[[#This Row],[Tmedia media (°C) historica]]*100</f>
        <v>8.9552238805970088</v>
      </c>
      <c r="O179" s="3">
        <f>+(Tabla1[[#This Row],[Prec acum (mm)]]-Tabla1[[#This Row],[Prec acum (mm) historica]])/Tabla1[[#This Row],[Prec acum (mm) historica]]*100</f>
        <v>172.22222222222223</v>
      </c>
    </row>
    <row r="180" spans="1:15" hidden="1" x14ac:dyDescent="0.25">
      <c r="A180">
        <v>2015</v>
      </c>
      <c r="B180" t="s">
        <v>16</v>
      </c>
      <c r="C180" t="s">
        <v>22</v>
      </c>
      <c r="D180" s="6">
        <v>12.3</v>
      </c>
      <c r="E180" s="6">
        <v>1.2</v>
      </c>
      <c r="F180" s="6">
        <v>6.7</v>
      </c>
      <c r="G180" s="6">
        <v>36</v>
      </c>
      <c r="H180" s="10">
        <v>14.1</v>
      </c>
      <c r="I180" s="10">
        <v>1.3</v>
      </c>
      <c r="J180" s="10">
        <v>7.7</v>
      </c>
      <c r="K180" s="10">
        <v>61</v>
      </c>
      <c r="L180" s="4">
        <f>+(Tabla1[[#This Row],[Tmax media (°C)]]-Tabla1[[#This Row],[Tmax media (°C) historica]])/Tabla1[[#This Row],[Tmax media (°C) historica]]*100</f>
        <v>14.634146341463406</v>
      </c>
      <c r="M180" s="4">
        <f>+(Tabla1[[#This Row],[Tmin media (°C)]]-Tabla1[[#This Row],[Tmin media (°C) historica]])/Tabla1[[#This Row],[Tmin media (°C) historica]]*100</f>
        <v>8.333333333333341</v>
      </c>
      <c r="N180" s="4">
        <f>+(Tabla1[[#This Row],[Tmedia media (°C)]]-Tabla1[[#This Row],[Tmedia media (°C) historica]])/Tabla1[[#This Row],[Tmedia media (°C) historica]]*100</f>
        <v>14.925373134328357</v>
      </c>
      <c r="O180" s="4">
        <f>+(Tabla1[[#This Row],[Prec acum (mm)]]-Tabla1[[#This Row],[Prec acum (mm) historica]])/Tabla1[[#This Row],[Prec acum (mm) historica]]*100</f>
        <v>69.444444444444443</v>
      </c>
    </row>
    <row r="181" spans="1:15" hidden="1" x14ac:dyDescent="0.25">
      <c r="A181">
        <v>2023</v>
      </c>
      <c r="B181" t="s">
        <v>16</v>
      </c>
      <c r="C181" t="s">
        <v>22</v>
      </c>
      <c r="D181" s="6">
        <v>12.3</v>
      </c>
      <c r="E181" s="6">
        <v>1.2</v>
      </c>
      <c r="F181" s="6">
        <v>6.7</v>
      </c>
      <c r="G181" s="6">
        <v>36</v>
      </c>
      <c r="H181" s="10">
        <v>12.5</v>
      </c>
      <c r="I181" s="10">
        <v>2</v>
      </c>
      <c r="J181" s="10">
        <v>7.2</v>
      </c>
      <c r="K181" s="10">
        <v>53</v>
      </c>
      <c r="L181" s="3">
        <f>+(Tabla1[[#This Row],[Tmax media (°C)]]-Tabla1[[#This Row],[Tmax media (°C) historica]])/Tabla1[[#This Row],[Tmax media (°C) historica]]*100</f>
        <v>1.6260162601625958</v>
      </c>
      <c r="M181" s="3">
        <f>+(Tabla1[[#This Row],[Tmin media (°C)]]-Tabla1[[#This Row],[Tmin media (°C) historica]])/Tabla1[[#This Row],[Tmin media (°C) historica]]*100</f>
        <v>66.666666666666671</v>
      </c>
      <c r="N181" s="3">
        <f>+(Tabla1[[#This Row],[Tmedia media (°C)]]-Tabla1[[#This Row],[Tmedia media (°C) historica]])/Tabla1[[#This Row],[Tmedia media (°C) historica]]*100</f>
        <v>7.4626865671641784</v>
      </c>
      <c r="O181" s="3">
        <f>+(Tabla1[[#This Row],[Prec acum (mm)]]-Tabla1[[#This Row],[Prec acum (mm) historica]])/Tabla1[[#This Row],[Prec acum (mm) historica]]*100</f>
        <v>47.222222222222221</v>
      </c>
    </row>
    <row r="182" spans="1:15" hidden="1" x14ac:dyDescent="0.25">
      <c r="A182">
        <v>1982</v>
      </c>
      <c r="B182" t="s">
        <v>16</v>
      </c>
      <c r="C182" t="s">
        <v>23</v>
      </c>
      <c r="D182" s="6">
        <v>14.9</v>
      </c>
      <c r="E182" s="6">
        <v>2.9</v>
      </c>
      <c r="F182" s="6">
        <v>8.9</v>
      </c>
      <c r="G182" s="6">
        <v>34</v>
      </c>
      <c r="H182" s="10">
        <v>14.5</v>
      </c>
      <c r="I182" s="10">
        <v>3</v>
      </c>
      <c r="J182" s="10">
        <v>8.6999999999999993</v>
      </c>
      <c r="K182" s="10">
        <v>12</v>
      </c>
      <c r="L182" s="3">
        <f>+(Tabla1[[#This Row],[Tmax media (°C)]]-Tabla1[[#This Row],[Tmax media (°C) historica]])/Tabla1[[#This Row],[Tmax media (°C) historica]]*100</f>
        <v>-2.6845637583892641</v>
      </c>
      <c r="M182" s="3">
        <f>+(Tabla1[[#This Row],[Tmin media (°C)]]-Tabla1[[#This Row],[Tmin media (°C) historica]])/Tabla1[[#This Row],[Tmin media (°C) historica]]*100</f>
        <v>3.4482758620689689</v>
      </c>
      <c r="N182" s="3">
        <f>+(Tabla1[[#This Row],[Tmedia media (°C)]]-Tabla1[[#This Row],[Tmedia media (°C) historica]])/Tabla1[[#This Row],[Tmedia media (°C) historica]]*100</f>
        <v>-2.2471910112359668</v>
      </c>
      <c r="O182" s="3">
        <f>+(Tabla1[[#This Row],[Prec acum (mm)]]-Tabla1[[#This Row],[Prec acum (mm) historica]])/Tabla1[[#This Row],[Prec acum (mm) historica]]*100</f>
        <v>-64.705882352941174</v>
      </c>
    </row>
    <row r="183" spans="1:15" hidden="1" x14ac:dyDescent="0.25">
      <c r="A183">
        <v>1987</v>
      </c>
      <c r="B183" t="s">
        <v>16</v>
      </c>
      <c r="C183" t="s">
        <v>23</v>
      </c>
      <c r="D183" s="6">
        <v>14.9</v>
      </c>
      <c r="E183" s="6">
        <v>2.9</v>
      </c>
      <c r="F183" s="6">
        <v>8.9</v>
      </c>
      <c r="G183" s="6">
        <v>34</v>
      </c>
      <c r="H183" s="10">
        <v>12.6</v>
      </c>
      <c r="I183" s="10">
        <v>3.8</v>
      </c>
      <c r="J183" s="10">
        <v>8.1999999999999993</v>
      </c>
      <c r="K183" s="10">
        <v>35</v>
      </c>
      <c r="L183" s="4">
        <f>+(Tabla1[[#This Row],[Tmax media (°C)]]-Tabla1[[#This Row],[Tmax media (°C) historica]])/Tabla1[[#This Row],[Tmax media (°C) historica]]*100</f>
        <v>-15.436241610738261</v>
      </c>
      <c r="M183" s="4">
        <f>+(Tabla1[[#This Row],[Tmin media (°C)]]-Tabla1[[#This Row],[Tmin media (°C) historica]])/Tabla1[[#This Row],[Tmin media (°C) historica]]*100</f>
        <v>31.034482758620683</v>
      </c>
      <c r="N183" s="4">
        <f>+(Tabla1[[#This Row],[Tmedia media (°C)]]-Tabla1[[#This Row],[Tmedia media (°C) historica]])/Tabla1[[#This Row],[Tmedia media (°C) historica]]*100</f>
        <v>-7.8651685393258548</v>
      </c>
      <c r="O183" s="4">
        <f>+(Tabla1[[#This Row],[Prec acum (mm)]]-Tabla1[[#This Row],[Prec acum (mm) historica]])/Tabla1[[#This Row],[Prec acum (mm) historica]]*100</f>
        <v>2.9411764705882351</v>
      </c>
    </row>
    <row r="184" spans="1:15" hidden="1" x14ac:dyDescent="0.25">
      <c r="A184">
        <v>1991</v>
      </c>
      <c r="B184" t="s">
        <v>16</v>
      </c>
      <c r="C184" t="s">
        <v>23</v>
      </c>
      <c r="D184" s="6">
        <v>14.9</v>
      </c>
      <c r="E184" s="6">
        <v>2.2999999999999998</v>
      </c>
      <c r="F184" s="6">
        <v>8.8000000000000007</v>
      </c>
      <c r="G184" s="6">
        <v>34</v>
      </c>
      <c r="H184" s="10">
        <v>14.9</v>
      </c>
      <c r="I184" s="10">
        <v>4.0999999999999996</v>
      </c>
      <c r="J184" s="10">
        <v>9.5</v>
      </c>
      <c r="K184" s="10">
        <v>12</v>
      </c>
      <c r="L184" s="3">
        <f>+(Tabla1[[#This Row],[Tmax media (°C)]]-Tabla1[[#This Row],[Tmax media (°C) historica]])/Tabla1[[#This Row],[Tmax media (°C) historica]]*100</f>
        <v>0</v>
      </c>
      <c r="M184" s="3">
        <f>+(Tabla1[[#This Row],[Tmin media (°C)]]-Tabla1[[#This Row],[Tmin media (°C) historica]])/Tabla1[[#This Row],[Tmin media (°C) historica]]*100</f>
        <v>78.260869565217391</v>
      </c>
      <c r="N184" s="3">
        <f>+(Tabla1[[#This Row],[Tmedia media (°C)]]-Tabla1[[#This Row],[Tmedia media (°C) historica]])/Tabla1[[#This Row],[Tmedia media (°C) historica]]*100</f>
        <v>7.9545454545454461</v>
      </c>
      <c r="O184" s="3">
        <f>+(Tabla1[[#This Row],[Prec acum (mm)]]-Tabla1[[#This Row],[Prec acum (mm) historica]])/Tabla1[[#This Row],[Prec acum (mm) historica]]*100</f>
        <v>-64.705882352941174</v>
      </c>
    </row>
    <row r="185" spans="1:15" hidden="1" x14ac:dyDescent="0.25">
      <c r="A185">
        <v>1994</v>
      </c>
      <c r="B185" t="s">
        <v>16</v>
      </c>
      <c r="C185" t="s">
        <v>23</v>
      </c>
      <c r="D185" s="6">
        <v>14.9</v>
      </c>
      <c r="E185" s="6">
        <v>2.2999999999999998</v>
      </c>
      <c r="F185" s="6">
        <v>8.8000000000000007</v>
      </c>
      <c r="G185" s="6">
        <v>34</v>
      </c>
      <c r="H185" s="10">
        <v>14.4</v>
      </c>
      <c r="I185" s="10">
        <v>1.4</v>
      </c>
      <c r="J185" s="10">
        <v>7.9</v>
      </c>
      <c r="K185" s="10">
        <v>20</v>
      </c>
      <c r="L185" s="4">
        <f>+(Tabla1[[#This Row],[Tmax media (°C)]]-Tabla1[[#This Row],[Tmax media (°C) historica]])/Tabla1[[#This Row],[Tmax media (°C) historica]]*100</f>
        <v>-3.3557046979865772</v>
      </c>
      <c r="M185" s="4">
        <f>+(Tabla1[[#This Row],[Tmin media (°C)]]-Tabla1[[#This Row],[Tmin media (°C) historica]])/Tabla1[[#This Row],[Tmin media (°C) historica]]*100</f>
        <v>-39.130434782608695</v>
      </c>
      <c r="N185" s="4">
        <f>+(Tabla1[[#This Row],[Tmedia media (°C)]]-Tabla1[[#This Row],[Tmedia media (°C) historica]])/Tabla1[[#This Row],[Tmedia media (°C) historica]]*100</f>
        <v>-10.22727272727273</v>
      </c>
      <c r="O185" s="4">
        <f>+(Tabla1[[#This Row],[Prec acum (mm)]]-Tabla1[[#This Row],[Prec acum (mm) historica]])/Tabla1[[#This Row],[Prec acum (mm) historica]]*100</f>
        <v>-41.17647058823529</v>
      </c>
    </row>
    <row r="186" spans="1:15" hidden="1" x14ac:dyDescent="0.25">
      <c r="A186">
        <v>1997</v>
      </c>
      <c r="B186" t="s">
        <v>16</v>
      </c>
      <c r="C186" t="s">
        <v>23</v>
      </c>
      <c r="D186" s="6">
        <v>14.9</v>
      </c>
      <c r="E186" s="6">
        <v>2.2999999999999998</v>
      </c>
      <c r="F186" s="6">
        <v>8.8000000000000007</v>
      </c>
      <c r="G186" s="6">
        <v>34</v>
      </c>
      <c r="H186" s="10">
        <v>14.8</v>
      </c>
      <c r="I186" s="10">
        <v>3.6</v>
      </c>
      <c r="J186" s="10">
        <v>9.1999999999999993</v>
      </c>
      <c r="K186" s="10">
        <v>88</v>
      </c>
      <c r="L186" s="3">
        <f>+(Tabla1[[#This Row],[Tmax media (°C)]]-Tabla1[[#This Row],[Tmax media (°C) historica]])/Tabla1[[#This Row],[Tmax media (°C) historica]]*100</f>
        <v>-0.67114093959731302</v>
      </c>
      <c r="M186" s="3">
        <f>+(Tabla1[[#This Row],[Tmin media (°C)]]-Tabla1[[#This Row],[Tmin media (°C) historica]])/Tabla1[[#This Row],[Tmin media (°C) historica]]*100</f>
        <v>56.521739130434803</v>
      </c>
      <c r="N186" s="3">
        <f>+(Tabla1[[#This Row],[Tmedia media (°C)]]-Tabla1[[#This Row],[Tmedia media (°C) historica]])/Tabla1[[#This Row],[Tmedia media (°C) historica]]*100</f>
        <v>4.545454545454529</v>
      </c>
      <c r="O186" s="3">
        <f>+(Tabla1[[#This Row],[Prec acum (mm)]]-Tabla1[[#This Row],[Prec acum (mm) historica]])/Tabla1[[#This Row],[Prec acum (mm) historica]]*100</f>
        <v>158.8235294117647</v>
      </c>
    </row>
    <row r="187" spans="1:15" hidden="1" x14ac:dyDescent="0.25">
      <c r="A187">
        <v>2002</v>
      </c>
      <c r="B187" t="s">
        <v>16</v>
      </c>
      <c r="C187" t="s">
        <v>23</v>
      </c>
      <c r="D187" s="6">
        <v>14.9</v>
      </c>
      <c r="E187" s="6">
        <v>2.2999999999999998</v>
      </c>
      <c r="F187" s="6">
        <v>8.8000000000000007</v>
      </c>
      <c r="G187" s="6">
        <v>34</v>
      </c>
      <c r="H187" s="10">
        <v>14.1</v>
      </c>
      <c r="I187" s="10">
        <v>4.5999999999999996</v>
      </c>
      <c r="J187" s="10">
        <v>9.3000000000000007</v>
      </c>
      <c r="K187" s="10">
        <v>97</v>
      </c>
      <c r="L187" s="4">
        <f>+(Tabla1[[#This Row],[Tmax media (°C)]]-Tabla1[[#This Row],[Tmax media (°C) historica]])/Tabla1[[#This Row],[Tmax media (°C) historica]]*100</f>
        <v>-5.3691275167785282</v>
      </c>
      <c r="M187" s="4">
        <f>+(Tabla1[[#This Row],[Tmin media (°C)]]-Tabla1[[#This Row],[Tmin media (°C) historica]])/Tabla1[[#This Row],[Tmin media (°C) historica]]*100</f>
        <v>100</v>
      </c>
      <c r="N187" s="4">
        <f>+(Tabla1[[#This Row],[Tmedia media (°C)]]-Tabla1[[#This Row],[Tmedia media (°C) historica]])/Tabla1[[#This Row],[Tmedia media (°C) historica]]*100</f>
        <v>5.6818181818181817</v>
      </c>
      <c r="O187" s="4">
        <f>+(Tabla1[[#This Row],[Prec acum (mm)]]-Tabla1[[#This Row],[Prec acum (mm) historica]])/Tabla1[[#This Row],[Prec acum (mm) historica]]*100</f>
        <v>185.29411764705884</v>
      </c>
    </row>
    <row r="188" spans="1:15" hidden="1" x14ac:dyDescent="0.25">
      <c r="A188">
        <v>2004</v>
      </c>
      <c r="B188" t="s">
        <v>16</v>
      </c>
      <c r="C188" t="s">
        <v>23</v>
      </c>
      <c r="D188" s="6">
        <v>14.9</v>
      </c>
      <c r="E188" s="6">
        <v>2.2999999999999998</v>
      </c>
      <c r="F188" s="6">
        <v>8.8000000000000007</v>
      </c>
      <c r="G188" s="6">
        <v>34</v>
      </c>
      <c r="H188" s="10">
        <v>14.1</v>
      </c>
      <c r="I188" s="10">
        <v>3.6</v>
      </c>
      <c r="J188" s="10">
        <v>8.9</v>
      </c>
      <c r="K188" s="10">
        <v>84</v>
      </c>
      <c r="L188" s="3">
        <f>+(Tabla1[[#This Row],[Tmax media (°C)]]-Tabla1[[#This Row],[Tmax media (°C) historica]])/Tabla1[[#This Row],[Tmax media (°C) historica]]*100</f>
        <v>-5.3691275167785282</v>
      </c>
      <c r="M188" s="3">
        <f>+(Tabla1[[#This Row],[Tmin media (°C)]]-Tabla1[[#This Row],[Tmin media (°C) historica]])/Tabla1[[#This Row],[Tmin media (°C) historica]]*100</f>
        <v>56.521739130434803</v>
      </c>
      <c r="N188" s="3">
        <f>+(Tabla1[[#This Row],[Tmedia media (°C)]]-Tabla1[[#This Row],[Tmedia media (°C) historica]])/Tabla1[[#This Row],[Tmedia media (°C) historica]]*100</f>
        <v>1.1363636363636322</v>
      </c>
      <c r="O188" s="3">
        <f>+(Tabla1[[#This Row],[Prec acum (mm)]]-Tabla1[[#This Row],[Prec acum (mm) historica]])/Tabla1[[#This Row],[Prec acum (mm) historica]]*100</f>
        <v>147.05882352941177</v>
      </c>
    </row>
    <row r="189" spans="1:15" hidden="1" x14ac:dyDescent="0.25">
      <c r="A189">
        <v>2015</v>
      </c>
      <c r="B189" t="s">
        <v>16</v>
      </c>
      <c r="C189" t="s">
        <v>23</v>
      </c>
      <c r="D189" s="6">
        <v>14.9</v>
      </c>
      <c r="E189" s="6">
        <v>2.2999999999999998</v>
      </c>
      <c r="F189" s="6">
        <v>8.8000000000000007</v>
      </c>
      <c r="G189" s="6">
        <v>34</v>
      </c>
      <c r="H189" s="10">
        <v>15.8</v>
      </c>
      <c r="I189" s="10">
        <v>5</v>
      </c>
      <c r="J189" s="10">
        <v>10.4</v>
      </c>
      <c r="K189" s="10">
        <v>154</v>
      </c>
      <c r="L189" s="4">
        <f>+(Tabla1[[#This Row],[Tmax media (°C)]]-Tabla1[[#This Row],[Tmax media (°C) historica]])/Tabla1[[#This Row],[Tmax media (°C) historica]]*100</f>
        <v>6.0402684563758413</v>
      </c>
      <c r="M189" s="4">
        <f>+(Tabla1[[#This Row],[Tmin media (°C)]]-Tabla1[[#This Row],[Tmin media (°C) historica]])/Tabla1[[#This Row],[Tmin media (°C) historica]]*100</f>
        <v>117.39130434782609</v>
      </c>
      <c r="N189" s="4">
        <f>+(Tabla1[[#This Row],[Tmedia media (°C)]]-Tabla1[[#This Row],[Tmedia media (°C) historica]])/Tabla1[[#This Row],[Tmedia media (°C) historica]]*100</f>
        <v>18.181818181818176</v>
      </c>
      <c r="O189" s="4">
        <f>+(Tabla1[[#This Row],[Prec acum (mm)]]-Tabla1[[#This Row],[Prec acum (mm) historica]])/Tabla1[[#This Row],[Prec acum (mm) historica]]*100</f>
        <v>352.94117647058823</v>
      </c>
    </row>
    <row r="190" spans="1:15" hidden="1" x14ac:dyDescent="0.25">
      <c r="A190">
        <v>2023</v>
      </c>
      <c r="B190" t="s">
        <v>16</v>
      </c>
      <c r="C190" t="s">
        <v>23</v>
      </c>
      <c r="D190" s="6">
        <v>14.9</v>
      </c>
      <c r="E190" s="6">
        <v>2.2999999999999998</v>
      </c>
      <c r="F190" s="6">
        <v>8.8000000000000007</v>
      </c>
      <c r="G190" s="6">
        <v>34</v>
      </c>
      <c r="H190" s="10">
        <v>14.9</v>
      </c>
      <c r="I190" s="10">
        <v>1.4</v>
      </c>
      <c r="J190" s="10">
        <v>8.1</v>
      </c>
      <c r="K190" s="10">
        <v>34</v>
      </c>
      <c r="L190" s="3">
        <f>+(Tabla1[[#This Row],[Tmax media (°C)]]-Tabla1[[#This Row],[Tmax media (°C) historica]])/Tabla1[[#This Row],[Tmax media (°C) historica]]*100</f>
        <v>0</v>
      </c>
      <c r="M190" s="3">
        <f>+(Tabla1[[#This Row],[Tmin media (°C)]]-Tabla1[[#This Row],[Tmin media (°C) historica]])/Tabla1[[#This Row],[Tmin media (°C) historica]]*100</f>
        <v>-39.130434782608695</v>
      </c>
      <c r="N190" s="3">
        <f>+(Tabla1[[#This Row],[Tmedia media (°C)]]-Tabla1[[#This Row],[Tmedia media (°C) historica]])/Tabla1[[#This Row],[Tmedia media (°C) historica]]*100</f>
        <v>-7.9545454545454657</v>
      </c>
      <c r="O190" s="3">
        <f>+(Tabla1[[#This Row],[Prec acum (mm)]]-Tabla1[[#This Row],[Prec acum (mm) historica]])/Tabla1[[#This Row],[Prec acum (mm) historica]]*100</f>
        <v>0</v>
      </c>
    </row>
    <row r="191" spans="1:15" hidden="1" x14ac:dyDescent="0.25">
      <c r="A191">
        <v>1982</v>
      </c>
      <c r="B191" t="s">
        <v>16</v>
      </c>
      <c r="C191" t="s">
        <v>24</v>
      </c>
      <c r="D191" s="6">
        <v>16.7</v>
      </c>
      <c r="E191" s="6">
        <v>3.6</v>
      </c>
      <c r="F191" s="6">
        <v>10.5</v>
      </c>
      <c r="G191" s="6">
        <v>42</v>
      </c>
      <c r="H191" s="10">
        <v>16.3</v>
      </c>
      <c r="I191" s="10">
        <v>6.1</v>
      </c>
      <c r="J191" s="10">
        <v>11.2</v>
      </c>
      <c r="K191" s="10">
        <v>106</v>
      </c>
      <c r="L191" s="3">
        <f>+(Tabla1[[#This Row],[Tmax media (°C)]]-Tabla1[[#This Row],[Tmax media (°C) historica]])/Tabla1[[#This Row],[Tmax media (°C) historica]]*100</f>
        <v>-2.3952095808383147</v>
      </c>
      <c r="M191" s="3">
        <f>+(Tabla1[[#This Row],[Tmin media (°C)]]-Tabla1[[#This Row],[Tmin media (°C) historica]])/Tabla1[[#This Row],[Tmin media (°C) historica]]*100</f>
        <v>69.444444444444429</v>
      </c>
      <c r="N191" s="3">
        <f>+(Tabla1[[#This Row],[Tmedia media (°C)]]-Tabla1[[#This Row],[Tmedia media (°C) historica]])/Tabla1[[#This Row],[Tmedia media (°C) historica]]*100</f>
        <v>6.6666666666666599</v>
      </c>
      <c r="O191" s="3">
        <f>+(Tabla1[[#This Row],[Prec acum (mm)]]-Tabla1[[#This Row],[Prec acum (mm) historica]])/Tabla1[[#This Row],[Prec acum (mm) historica]]*100</f>
        <v>152.38095238095238</v>
      </c>
    </row>
    <row r="192" spans="1:15" hidden="1" x14ac:dyDescent="0.25">
      <c r="A192">
        <v>1987</v>
      </c>
      <c r="B192" t="s">
        <v>16</v>
      </c>
      <c r="C192" t="s">
        <v>24</v>
      </c>
      <c r="D192" s="6">
        <v>16.7</v>
      </c>
      <c r="E192" s="6">
        <v>3.6</v>
      </c>
      <c r="F192" s="6">
        <v>10.5</v>
      </c>
      <c r="G192" s="6">
        <v>42</v>
      </c>
      <c r="H192" s="10">
        <v>15.4</v>
      </c>
      <c r="I192" s="10">
        <v>3.1</v>
      </c>
      <c r="J192" s="10">
        <v>9.1999999999999993</v>
      </c>
      <c r="K192" s="10">
        <v>18</v>
      </c>
      <c r="L192" s="4">
        <f>+(Tabla1[[#This Row],[Tmax media (°C)]]-Tabla1[[#This Row],[Tmax media (°C) historica]])/Tabla1[[#This Row],[Tmax media (°C) historica]]*100</f>
        <v>-7.7844311377245443</v>
      </c>
      <c r="M192" s="4">
        <f>+(Tabla1[[#This Row],[Tmin media (°C)]]-Tabla1[[#This Row],[Tmin media (°C) historica]])/Tabla1[[#This Row],[Tmin media (°C) historica]]*100</f>
        <v>-13.888888888888889</v>
      </c>
      <c r="N192" s="4">
        <f>+(Tabla1[[#This Row],[Tmedia media (°C)]]-Tabla1[[#This Row],[Tmedia media (°C) historica]])/Tabla1[[#This Row],[Tmedia media (°C) historica]]*100</f>
        <v>-12.380952380952388</v>
      </c>
      <c r="O192" s="4">
        <f>+(Tabla1[[#This Row],[Prec acum (mm)]]-Tabla1[[#This Row],[Prec acum (mm) historica]])/Tabla1[[#This Row],[Prec acum (mm) historica]]*100</f>
        <v>-57.142857142857139</v>
      </c>
    </row>
    <row r="193" spans="1:15" hidden="1" x14ac:dyDescent="0.25">
      <c r="A193">
        <v>1991</v>
      </c>
      <c r="B193" t="s">
        <v>16</v>
      </c>
      <c r="C193" t="s">
        <v>24</v>
      </c>
      <c r="D193" s="6">
        <v>16.8</v>
      </c>
      <c r="E193" s="6">
        <v>3.4</v>
      </c>
      <c r="F193" s="6">
        <v>10.3</v>
      </c>
      <c r="G193" s="6">
        <v>49</v>
      </c>
      <c r="H193" s="10">
        <v>17.100000000000001</v>
      </c>
      <c r="I193" s="10">
        <v>6.1</v>
      </c>
      <c r="J193" s="10">
        <v>11.6</v>
      </c>
      <c r="K193" s="10">
        <v>72</v>
      </c>
      <c r="L193" s="3">
        <f>+(Tabla1[[#This Row],[Tmax media (°C)]]-Tabla1[[#This Row],[Tmax media (°C) historica]])/Tabla1[[#This Row],[Tmax media (°C) historica]]*100</f>
        <v>1.7857142857142898</v>
      </c>
      <c r="M193" s="3">
        <f>+(Tabla1[[#This Row],[Tmin media (°C)]]-Tabla1[[#This Row],[Tmin media (°C) historica]])/Tabla1[[#This Row],[Tmin media (°C) historica]]*100</f>
        <v>79.411764705882348</v>
      </c>
      <c r="N193" s="3">
        <f>+(Tabla1[[#This Row],[Tmedia media (°C)]]-Tabla1[[#This Row],[Tmedia media (°C) historica]])/Tabla1[[#This Row],[Tmedia media (°C) historica]]*100</f>
        <v>12.62135922330096</v>
      </c>
      <c r="O193" s="3">
        <f>+(Tabla1[[#This Row],[Prec acum (mm)]]-Tabla1[[#This Row],[Prec acum (mm) historica]])/Tabla1[[#This Row],[Prec acum (mm) historica]]*100</f>
        <v>46.938775510204081</v>
      </c>
    </row>
    <row r="194" spans="1:15" hidden="1" x14ac:dyDescent="0.25">
      <c r="A194">
        <v>1994</v>
      </c>
      <c r="B194" t="s">
        <v>16</v>
      </c>
      <c r="C194" t="s">
        <v>24</v>
      </c>
      <c r="D194" s="6">
        <v>16.8</v>
      </c>
      <c r="E194" s="6">
        <v>3.4</v>
      </c>
      <c r="F194" s="6">
        <v>10.3</v>
      </c>
      <c r="G194" s="6">
        <v>49</v>
      </c>
      <c r="H194" s="10">
        <v>16.8</v>
      </c>
      <c r="I194" s="10">
        <v>5</v>
      </c>
      <c r="J194" s="10">
        <v>10.9</v>
      </c>
      <c r="K194" s="10">
        <v>40</v>
      </c>
      <c r="L194" s="4">
        <f>+(Tabla1[[#This Row],[Tmax media (°C)]]-Tabla1[[#This Row],[Tmax media (°C) historica]])/Tabla1[[#This Row],[Tmax media (°C) historica]]*100</f>
        <v>0</v>
      </c>
      <c r="M194" s="4">
        <f>+(Tabla1[[#This Row],[Tmin media (°C)]]-Tabla1[[#This Row],[Tmin media (°C) historica]])/Tabla1[[#This Row],[Tmin media (°C) historica]]*100</f>
        <v>47.058823529411768</v>
      </c>
      <c r="N194" s="4">
        <f>+(Tabla1[[#This Row],[Tmedia media (°C)]]-Tabla1[[#This Row],[Tmedia media (°C) historica]])/Tabla1[[#This Row],[Tmedia media (°C) historica]]*100</f>
        <v>5.8252427184465976</v>
      </c>
      <c r="O194" s="4">
        <f>+(Tabla1[[#This Row],[Prec acum (mm)]]-Tabla1[[#This Row],[Prec acum (mm) historica]])/Tabla1[[#This Row],[Prec acum (mm) historica]]*100</f>
        <v>-18.367346938775512</v>
      </c>
    </row>
    <row r="195" spans="1:15" hidden="1" x14ac:dyDescent="0.25">
      <c r="A195">
        <v>1997</v>
      </c>
      <c r="B195" t="s">
        <v>16</v>
      </c>
      <c r="C195" t="s">
        <v>24</v>
      </c>
      <c r="D195" s="6">
        <v>16.8</v>
      </c>
      <c r="E195" s="6">
        <v>3.4</v>
      </c>
      <c r="F195" s="6">
        <v>10.3</v>
      </c>
      <c r="G195" s="6">
        <v>49</v>
      </c>
      <c r="H195" s="10">
        <v>15.6</v>
      </c>
      <c r="I195" s="10">
        <v>3.2</v>
      </c>
      <c r="J195" s="10">
        <v>9.4</v>
      </c>
      <c r="K195" s="10">
        <v>31</v>
      </c>
      <c r="L195" s="3">
        <f>+(Tabla1[[#This Row],[Tmax media (°C)]]-Tabla1[[#This Row],[Tmax media (°C) historica]])/Tabla1[[#This Row],[Tmax media (°C) historica]]*100</f>
        <v>-7.1428571428571495</v>
      </c>
      <c r="M195" s="3">
        <f>+(Tabla1[[#This Row],[Tmin media (°C)]]-Tabla1[[#This Row],[Tmin media (°C) historica]])/Tabla1[[#This Row],[Tmin media (°C) historica]]*100</f>
        <v>-5.882352941176463</v>
      </c>
      <c r="N195" s="3">
        <f>+(Tabla1[[#This Row],[Tmedia media (°C)]]-Tabla1[[#This Row],[Tmedia media (°C) historica]])/Tabla1[[#This Row],[Tmedia media (°C) historica]]*100</f>
        <v>-8.7378640776699061</v>
      </c>
      <c r="O195" s="3">
        <f>+(Tabla1[[#This Row],[Prec acum (mm)]]-Tabla1[[#This Row],[Prec acum (mm) historica]])/Tabla1[[#This Row],[Prec acum (mm) historica]]*100</f>
        <v>-36.734693877551024</v>
      </c>
    </row>
    <row r="196" spans="1:15" hidden="1" x14ac:dyDescent="0.25">
      <c r="A196">
        <v>2002</v>
      </c>
      <c r="B196" t="s">
        <v>16</v>
      </c>
      <c r="C196" t="s">
        <v>24</v>
      </c>
      <c r="D196" s="6">
        <v>16.8</v>
      </c>
      <c r="E196" s="6">
        <v>3.4</v>
      </c>
      <c r="F196" s="6">
        <v>10.3</v>
      </c>
      <c r="G196" s="6">
        <v>49</v>
      </c>
      <c r="H196" s="10">
        <v>15.8</v>
      </c>
      <c r="I196" s="10">
        <v>4.4000000000000004</v>
      </c>
      <c r="J196" s="10">
        <v>10.1</v>
      </c>
      <c r="K196" s="10">
        <v>87</v>
      </c>
      <c r="L196" s="4">
        <f>+(Tabla1[[#This Row],[Tmax media (°C)]]-Tabla1[[#This Row],[Tmax media (°C) historica]])/Tabla1[[#This Row],[Tmax media (°C) historica]]*100</f>
        <v>-5.9523809523809517</v>
      </c>
      <c r="M196" s="4">
        <f>+(Tabla1[[#This Row],[Tmin media (°C)]]-Tabla1[[#This Row],[Tmin media (°C) historica]])/Tabla1[[#This Row],[Tmin media (°C) historica]]*100</f>
        <v>29.411764705882366</v>
      </c>
      <c r="N196" s="4">
        <f>+(Tabla1[[#This Row],[Tmedia media (°C)]]-Tabla1[[#This Row],[Tmedia media (°C) historica]])/Tabla1[[#This Row],[Tmedia media (°C) historica]]*100</f>
        <v>-1.9417475728155442</v>
      </c>
      <c r="O196" s="4">
        <f>+(Tabla1[[#This Row],[Prec acum (mm)]]-Tabla1[[#This Row],[Prec acum (mm) historica]])/Tabla1[[#This Row],[Prec acum (mm) historica]]*100</f>
        <v>77.551020408163268</v>
      </c>
    </row>
    <row r="197" spans="1:15" hidden="1" x14ac:dyDescent="0.25">
      <c r="A197">
        <v>2004</v>
      </c>
      <c r="B197" t="s">
        <v>16</v>
      </c>
      <c r="C197" t="s">
        <v>24</v>
      </c>
      <c r="D197" s="6">
        <v>16.8</v>
      </c>
      <c r="E197" s="6">
        <v>3.4</v>
      </c>
      <c r="F197" s="6">
        <v>10.3</v>
      </c>
      <c r="G197" s="6">
        <v>49</v>
      </c>
      <c r="H197" s="10">
        <v>17.600000000000001</v>
      </c>
      <c r="I197" s="10">
        <v>3.4</v>
      </c>
      <c r="J197" s="10">
        <v>10.5</v>
      </c>
      <c r="K197" s="10">
        <v>28</v>
      </c>
      <c r="L197" s="3">
        <f>+(Tabla1[[#This Row],[Tmax media (°C)]]-Tabla1[[#This Row],[Tmax media (°C) historica]])/Tabla1[[#This Row],[Tmax media (°C) historica]]*100</f>
        <v>4.7619047619047654</v>
      </c>
      <c r="M197" s="3">
        <f>+(Tabla1[[#This Row],[Tmin media (°C)]]-Tabla1[[#This Row],[Tmin media (°C) historica]])/Tabla1[[#This Row],[Tmin media (°C) historica]]*100</f>
        <v>0</v>
      </c>
      <c r="N197" s="3">
        <f>+(Tabla1[[#This Row],[Tmedia media (°C)]]-Tabla1[[#This Row],[Tmedia media (°C) historica]])/Tabla1[[#This Row],[Tmedia media (°C) historica]]*100</f>
        <v>1.9417475728155269</v>
      </c>
      <c r="O197" s="3">
        <f>+(Tabla1[[#This Row],[Prec acum (mm)]]-Tabla1[[#This Row],[Prec acum (mm) historica]])/Tabla1[[#This Row],[Prec acum (mm) historica]]*100</f>
        <v>-42.857142857142854</v>
      </c>
    </row>
    <row r="198" spans="1:15" hidden="1" x14ac:dyDescent="0.25">
      <c r="A198">
        <v>2015</v>
      </c>
      <c r="B198" t="s">
        <v>16</v>
      </c>
      <c r="C198" t="s">
        <v>24</v>
      </c>
      <c r="D198" s="6">
        <v>16.8</v>
      </c>
      <c r="E198" s="6">
        <v>3.4</v>
      </c>
      <c r="F198" s="6">
        <v>10.3</v>
      </c>
      <c r="G198" s="6">
        <v>49</v>
      </c>
      <c r="H198" s="10">
        <v>16.8</v>
      </c>
      <c r="I198" s="10">
        <v>2.2999999999999998</v>
      </c>
      <c r="J198" s="10">
        <v>9.6</v>
      </c>
      <c r="K198" s="10">
        <v>10</v>
      </c>
      <c r="L198" s="4">
        <f>+(Tabla1[[#This Row],[Tmax media (°C)]]-Tabla1[[#This Row],[Tmax media (°C) historica]])/Tabla1[[#This Row],[Tmax media (°C) historica]]*100</f>
        <v>0</v>
      </c>
      <c r="M198" s="4">
        <f>+(Tabla1[[#This Row],[Tmin media (°C)]]-Tabla1[[#This Row],[Tmin media (°C) historica]])/Tabla1[[#This Row],[Tmin media (°C) historica]]*100</f>
        <v>-32.352941176470587</v>
      </c>
      <c r="N198" s="4">
        <f>+(Tabla1[[#This Row],[Tmedia media (°C)]]-Tabla1[[#This Row],[Tmedia media (°C) historica]])/Tabla1[[#This Row],[Tmedia media (°C) historica]]*100</f>
        <v>-6.7961165048543783</v>
      </c>
      <c r="O198" s="4">
        <f>+(Tabla1[[#This Row],[Prec acum (mm)]]-Tabla1[[#This Row],[Prec acum (mm) historica]])/Tabla1[[#This Row],[Prec acum (mm) historica]]*100</f>
        <v>-79.591836734693871</v>
      </c>
    </row>
    <row r="199" spans="1:15" hidden="1" x14ac:dyDescent="0.25">
      <c r="A199">
        <v>2023</v>
      </c>
      <c r="B199" t="s">
        <v>16</v>
      </c>
      <c r="C199" t="s">
        <v>24</v>
      </c>
      <c r="D199" s="6">
        <v>16.8</v>
      </c>
      <c r="E199" s="6">
        <v>3.4</v>
      </c>
      <c r="F199" s="6">
        <v>10.3</v>
      </c>
      <c r="G199" s="6">
        <v>49</v>
      </c>
      <c r="H199" s="10">
        <v>16.2</v>
      </c>
      <c r="I199" s="10">
        <v>3.2</v>
      </c>
      <c r="J199" s="10">
        <v>9.6999999999999993</v>
      </c>
      <c r="K199" s="10">
        <v>64</v>
      </c>
      <c r="L199" s="3">
        <f>+(Tabla1[[#This Row],[Tmax media (°C)]]-Tabla1[[#This Row],[Tmax media (°C) historica]])/Tabla1[[#This Row],[Tmax media (°C) historica]]*100</f>
        <v>-3.5714285714285796</v>
      </c>
      <c r="M199" s="3">
        <f>+(Tabla1[[#This Row],[Tmin media (°C)]]-Tabla1[[#This Row],[Tmin media (°C) historica]])/Tabla1[[#This Row],[Tmin media (°C) historica]]*100</f>
        <v>-5.882352941176463</v>
      </c>
      <c r="N199" s="3">
        <f>+(Tabla1[[#This Row],[Tmedia media (°C)]]-Tabla1[[#This Row],[Tmedia media (°C) historica]])/Tabla1[[#This Row],[Tmedia media (°C) historica]]*100</f>
        <v>-5.8252427184466153</v>
      </c>
      <c r="O199" s="3">
        <f>+(Tabla1[[#This Row],[Prec acum (mm)]]-Tabla1[[#This Row],[Prec acum (mm) historica]])/Tabla1[[#This Row],[Prec acum (mm) historica]]*100</f>
        <v>30.612244897959183</v>
      </c>
    </row>
    <row r="200" spans="1:15" hidden="1" x14ac:dyDescent="0.25">
      <c r="A200">
        <v>1982</v>
      </c>
      <c r="B200" t="s">
        <v>16</v>
      </c>
      <c r="C200" t="s">
        <v>25</v>
      </c>
      <c r="D200" s="6">
        <v>19.899999999999999</v>
      </c>
      <c r="E200" s="6">
        <v>7.3</v>
      </c>
      <c r="F200" s="6">
        <v>13.7</v>
      </c>
      <c r="G200" s="6">
        <v>94</v>
      </c>
      <c r="H200" s="10">
        <v>19.399999999999999</v>
      </c>
      <c r="I200" s="10">
        <v>7</v>
      </c>
      <c r="J200" s="10">
        <v>13.2</v>
      </c>
      <c r="K200" s="10">
        <v>143</v>
      </c>
      <c r="L200" s="3">
        <f>+(Tabla1[[#This Row],[Tmax media (°C)]]-Tabla1[[#This Row],[Tmax media (°C) historica]])/Tabla1[[#This Row],[Tmax media (°C) historica]]*100</f>
        <v>-2.512562814070352</v>
      </c>
      <c r="M200" s="3">
        <f>+(Tabla1[[#This Row],[Tmin media (°C)]]-Tabla1[[#This Row],[Tmin media (°C) historica]])/Tabla1[[#This Row],[Tmin media (°C) historica]]*100</f>
        <v>-4.1095890410958882</v>
      </c>
      <c r="N200" s="3">
        <f>+(Tabla1[[#This Row],[Tmedia media (°C)]]-Tabla1[[#This Row],[Tmedia media (°C) historica]])/Tabla1[[#This Row],[Tmedia media (°C) historica]]*100</f>
        <v>-3.6496350364963508</v>
      </c>
      <c r="O200" s="3">
        <f>+(Tabla1[[#This Row],[Prec acum (mm)]]-Tabla1[[#This Row],[Prec acum (mm) historica]])/Tabla1[[#This Row],[Prec acum (mm) historica]]*100</f>
        <v>52.12765957446809</v>
      </c>
    </row>
    <row r="201" spans="1:15" hidden="1" x14ac:dyDescent="0.25">
      <c r="A201">
        <v>1987</v>
      </c>
      <c r="B201" t="s">
        <v>16</v>
      </c>
      <c r="C201" t="s">
        <v>25</v>
      </c>
      <c r="D201" s="6">
        <v>19.899999999999999</v>
      </c>
      <c r="E201" s="6">
        <v>7.3</v>
      </c>
      <c r="F201" s="6">
        <v>13.7</v>
      </c>
      <c r="G201" s="6">
        <v>94</v>
      </c>
      <c r="H201" s="10">
        <v>19.5</v>
      </c>
      <c r="I201" s="10">
        <v>7.8</v>
      </c>
      <c r="J201" s="10">
        <v>13.7</v>
      </c>
      <c r="K201" s="10">
        <v>98</v>
      </c>
      <c r="L201" s="4">
        <f>+(Tabla1[[#This Row],[Tmax media (°C)]]-Tabla1[[#This Row],[Tmax media (°C) historica]])/Tabla1[[#This Row],[Tmax media (°C) historica]]*100</f>
        <v>-2.0100502512562746</v>
      </c>
      <c r="M201" s="4">
        <f>+(Tabla1[[#This Row],[Tmin media (°C)]]-Tabla1[[#This Row],[Tmin media (°C) historica]])/Tabla1[[#This Row],[Tmin media (°C) historica]]*100</f>
        <v>6.8493150684931505</v>
      </c>
      <c r="N201" s="4">
        <f>+(Tabla1[[#This Row],[Tmedia media (°C)]]-Tabla1[[#This Row],[Tmedia media (°C) historica]])/Tabla1[[#This Row],[Tmedia media (°C) historica]]*100</f>
        <v>0</v>
      </c>
      <c r="O201" s="4">
        <f>+(Tabla1[[#This Row],[Prec acum (mm)]]-Tabla1[[#This Row],[Prec acum (mm) historica]])/Tabla1[[#This Row],[Prec acum (mm) historica]]*100</f>
        <v>4.2553191489361701</v>
      </c>
    </row>
    <row r="202" spans="1:15" hidden="1" x14ac:dyDescent="0.25">
      <c r="A202">
        <v>1991</v>
      </c>
      <c r="B202" t="s">
        <v>16</v>
      </c>
      <c r="C202" t="s">
        <v>25</v>
      </c>
      <c r="D202" s="6">
        <v>20</v>
      </c>
      <c r="E202" s="6">
        <v>6.7</v>
      </c>
      <c r="F202" s="6">
        <v>13.2</v>
      </c>
      <c r="G202" s="6">
        <v>74</v>
      </c>
      <c r="H202" s="10">
        <v>18.7</v>
      </c>
      <c r="I202" s="10">
        <v>6.3</v>
      </c>
      <c r="J202" s="10">
        <v>12.5</v>
      </c>
      <c r="K202" s="10">
        <v>103</v>
      </c>
      <c r="L202" s="3">
        <f>+(Tabla1[[#This Row],[Tmax media (°C)]]-Tabla1[[#This Row],[Tmax media (°C) historica]])/Tabla1[[#This Row],[Tmax media (°C) historica]]*100</f>
        <v>-6.5000000000000027</v>
      </c>
      <c r="M202" s="3">
        <f>+(Tabla1[[#This Row],[Tmin media (°C)]]-Tabla1[[#This Row],[Tmin media (°C) historica]])/Tabla1[[#This Row],[Tmin media (°C) historica]]*100</f>
        <v>-5.970149253731349</v>
      </c>
      <c r="N202" s="3">
        <f>+(Tabla1[[#This Row],[Tmedia media (°C)]]-Tabla1[[#This Row],[Tmedia media (°C) historica]])/Tabla1[[#This Row],[Tmedia media (°C) historica]]*100</f>
        <v>-5.3030303030302974</v>
      </c>
      <c r="O202" s="3">
        <f>+(Tabla1[[#This Row],[Prec acum (mm)]]-Tabla1[[#This Row],[Prec acum (mm) historica]])/Tabla1[[#This Row],[Prec acum (mm) historica]]*100</f>
        <v>39.189189189189186</v>
      </c>
    </row>
    <row r="203" spans="1:15" hidden="1" x14ac:dyDescent="0.25">
      <c r="A203">
        <v>1994</v>
      </c>
      <c r="B203" t="s">
        <v>16</v>
      </c>
      <c r="C203" t="s">
        <v>25</v>
      </c>
      <c r="D203" s="6">
        <v>20</v>
      </c>
      <c r="E203" s="6">
        <v>6.7</v>
      </c>
      <c r="F203" s="6">
        <v>13.2</v>
      </c>
      <c r="G203" s="6">
        <v>74</v>
      </c>
      <c r="H203" s="10">
        <v>17.899999999999999</v>
      </c>
      <c r="I203" s="10">
        <v>6.4</v>
      </c>
      <c r="J203" s="10">
        <v>12.1</v>
      </c>
      <c r="K203" s="10">
        <v>93</v>
      </c>
      <c r="L203" s="4">
        <f>+(Tabla1[[#This Row],[Tmax media (°C)]]-Tabla1[[#This Row],[Tmax media (°C) historica]])/Tabla1[[#This Row],[Tmax media (°C) historica]]*100</f>
        <v>-10.500000000000007</v>
      </c>
      <c r="M203" s="4">
        <f>+(Tabla1[[#This Row],[Tmin media (°C)]]-Tabla1[[#This Row],[Tmin media (°C) historica]])/Tabla1[[#This Row],[Tmin media (°C) historica]]*100</f>
        <v>-4.4776119402985044</v>
      </c>
      <c r="N203" s="4">
        <f>+(Tabla1[[#This Row],[Tmedia media (°C)]]-Tabla1[[#This Row],[Tmedia media (°C) historica]])/Tabla1[[#This Row],[Tmedia media (°C) historica]]*100</f>
        <v>-8.3333333333333321</v>
      </c>
      <c r="O203" s="4">
        <f>+(Tabla1[[#This Row],[Prec acum (mm)]]-Tabla1[[#This Row],[Prec acum (mm) historica]])/Tabla1[[#This Row],[Prec acum (mm) historica]]*100</f>
        <v>25.675675675675674</v>
      </c>
    </row>
    <row r="204" spans="1:15" hidden="1" x14ac:dyDescent="0.25">
      <c r="A204">
        <v>1997</v>
      </c>
      <c r="B204" t="s">
        <v>16</v>
      </c>
      <c r="C204" t="s">
        <v>25</v>
      </c>
      <c r="D204" s="6">
        <v>20</v>
      </c>
      <c r="E204" s="6">
        <v>6.7</v>
      </c>
      <c r="F204" s="6">
        <v>13.2</v>
      </c>
      <c r="G204" s="6">
        <v>74</v>
      </c>
      <c r="H204" s="10">
        <v>18.5</v>
      </c>
      <c r="I204" s="10">
        <v>7.7</v>
      </c>
      <c r="J204" s="10">
        <v>13.1</v>
      </c>
      <c r="K204" s="10">
        <v>258</v>
      </c>
      <c r="L204" s="3">
        <f>+(Tabla1[[#This Row],[Tmax media (°C)]]-Tabla1[[#This Row],[Tmax media (°C) historica]])/Tabla1[[#This Row],[Tmax media (°C) historica]]*100</f>
        <v>-7.5</v>
      </c>
      <c r="M204" s="3">
        <f>+(Tabla1[[#This Row],[Tmin media (°C)]]-Tabla1[[#This Row],[Tmin media (°C) historica]])/Tabla1[[#This Row],[Tmin media (°C) historica]]*100</f>
        <v>14.925373134328357</v>
      </c>
      <c r="N204" s="3">
        <f>+(Tabla1[[#This Row],[Tmedia media (°C)]]-Tabla1[[#This Row],[Tmedia media (°C) historica]])/Tabla1[[#This Row],[Tmedia media (°C) historica]]*100</f>
        <v>-0.7575757575757549</v>
      </c>
      <c r="O204" s="3">
        <f>+(Tabla1[[#This Row],[Prec acum (mm)]]-Tabla1[[#This Row],[Prec acum (mm) historica]])/Tabla1[[#This Row],[Prec acum (mm) historica]]*100</f>
        <v>248.64864864864865</v>
      </c>
    </row>
    <row r="205" spans="1:15" hidden="1" x14ac:dyDescent="0.25">
      <c r="A205">
        <v>2002</v>
      </c>
      <c r="B205" t="s">
        <v>16</v>
      </c>
      <c r="C205" t="s">
        <v>25</v>
      </c>
      <c r="D205" s="6">
        <v>20</v>
      </c>
      <c r="E205" s="6">
        <v>6.7</v>
      </c>
      <c r="F205" s="6">
        <v>13.2</v>
      </c>
      <c r="G205" s="6">
        <v>74</v>
      </c>
      <c r="H205" s="10">
        <v>20.3</v>
      </c>
      <c r="I205" s="10">
        <v>8.4</v>
      </c>
      <c r="J205" s="10">
        <v>14.4</v>
      </c>
      <c r="K205" s="10">
        <v>195</v>
      </c>
      <c r="L205" s="4">
        <f>+(Tabla1[[#This Row],[Tmax media (°C)]]-Tabla1[[#This Row],[Tmax media (°C) historica]])/Tabla1[[#This Row],[Tmax media (°C) historica]]*100</f>
        <v>1.5000000000000036</v>
      </c>
      <c r="M205" s="4">
        <f>+(Tabla1[[#This Row],[Tmin media (°C)]]-Tabla1[[#This Row],[Tmin media (°C) historica]])/Tabla1[[#This Row],[Tmin media (°C) historica]]*100</f>
        <v>25.373134328358208</v>
      </c>
      <c r="N205" s="4">
        <f>+(Tabla1[[#This Row],[Tmedia media (°C)]]-Tabla1[[#This Row],[Tmedia media (°C) historica]])/Tabla1[[#This Row],[Tmedia media (°C) historica]]*100</f>
        <v>9.0909090909090988</v>
      </c>
      <c r="O205" s="4">
        <f>+(Tabla1[[#This Row],[Prec acum (mm)]]-Tabla1[[#This Row],[Prec acum (mm) historica]])/Tabla1[[#This Row],[Prec acum (mm) historica]]*100</f>
        <v>163.51351351351352</v>
      </c>
    </row>
    <row r="206" spans="1:15" hidden="1" x14ac:dyDescent="0.25">
      <c r="A206">
        <v>2004</v>
      </c>
      <c r="B206" t="s">
        <v>16</v>
      </c>
      <c r="C206" t="s">
        <v>25</v>
      </c>
      <c r="D206" s="6">
        <v>20</v>
      </c>
      <c r="E206" s="6">
        <v>6.7</v>
      </c>
      <c r="F206" s="6">
        <v>13.2</v>
      </c>
      <c r="G206" s="6">
        <v>74</v>
      </c>
      <c r="H206" s="10">
        <v>19.600000000000001</v>
      </c>
      <c r="I206" s="10">
        <v>6</v>
      </c>
      <c r="J206" s="10">
        <v>12.8</v>
      </c>
      <c r="K206" s="10">
        <v>56</v>
      </c>
      <c r="L206" s="3">
        <f>+(Tabla1[[#This Row],[Tmax media (°C)]]-Tabla1[[#This Row],[Tmax media (°C) historica]])/Tabla1[[#This Row],[Tmax media (°C) historica]]*100</f>
        <v>-1.9999999999999927</v>
      </c>
      <c r="M206" s="3">
        <f>+(Tabla1[[#This Row],[Tmin media (°C)]]-Tabla1[[#This Row],[Tmin media (°C) historica]])/Tabla1[[#This Row],[Tmin media (°C) historica]]*100</f>
        <v>-10.447761194029853</v>
      </c>
      <c r="N206" s="3">
        <f>+(Tabla1[[#This Row],[Tmedia media (°C)]]-Tabla1[[#This Row],[Tmedia media (°C) historica]])/Tabla1[[#This Row],[Tmedia media (°C) historica]]*100</f>
        <v>-3.0303030303030196</v>
      </c>
      <c r="O206" s="3">
        <f>+(Tabla1[[#This Row],[Prec acum (mm)]]-Tabla1[[#This Row],[Prec acum (mm) historica]])/Tabla1[[#This Row],[Prec acum (mm) historica]]*100</f>
        <v>-24.324324324324326</v>
      </c>
    </row>
    <row r="207" spans="1:15" hidden="1" x14ac:dyDescent="0.25">
      <c r="A207">
        <v>2015</v>
      </c>
      <c r="B207" t="s">
        <v>16</v>
      </c>
      <c r="C207" t="s">
        <v>25</v>
      </c>
      <c r="D207" s="6">
        <v>20</v>
      </c>
      <c r="E207" s="6">
        <v>6.7</v>
      </c>
      <c r="F207" s="6">
        <v>13.2</v>
      </c>
      <c r="G207" s="6">
        <v>74</v>
      </c>
      <c r="H207" s="10">
        <v>17</v>
      </c>
      <c r="I207" s="10">
        <v>4.7</v>
      </c>
      <c r="J207" s="10">
        <v>10.8</v>
      </c>
      <c r="K207" s="10">
        <v>81</v>
      </c>
      <c r="L207" s="4">
        <f>+(Tabla1[[#This Row],[Tmax media (°C)]]-Tabla1[[#This Row],[Tmax media (°C) historica]])/Tabla1[[#This Row],[Tmax media (°C) historica]]*100</f>
        <v>-15</v>
      </c>
      <c r="M207" s="4">
        <f>+(Tabla1[[#This Row],[Tmin media (°C)]]-Tabla1[[#This Row],[Tmin media (°C) historica]])/Tabla1[[#This Row],[Tmin media (°C) historica]]*100</f>
        <v>-29.850746268656714</v>
      </c>
      <c r="N207" s="4">
        <f>+(Tabla1[[#This Row],[Tmedia media (°C)]]-Tabla1[[#This Row],[Tmedia media (°C) historica]])/Tabla1[[#This Row],[Tmedia media (°C) historica]]*100</f>
        <v>-18.181818181818173</v>
      </c>
      <c r="O207" s="4">
        <f>+(Tabla1[[#This Row],[Prec acum (mm)]]-Tabla1[[#This Row],[Prec acum (mm) historica]])/Tabla1[[#This Row],[Prec acum (mm) historica]]*100</f>
        <v>9.4594594594594597</v>
      </c>
    </row>
    <row r="208" spans="1:15" hidden="1" x14ac:dyDescent="0.25">
      <c r="A208">
        <v>2023</v>
      </c>
      <c r="B208" t="s">
        <v>16</v>
      </c>
      <c r="C208" t="s">
        <v>25</v>
      </c>
      <c r="D208" s="6">
        <v>20</v>
      </c>
      <c r="E208" s="6">
        <v>6.7</v>
      </c>
      <c r="F208" s="6">
        <v>13.2</v>
      </c>
      <c r="G208" s="6">
        <v>74</v>
      </c>
      <c r="H208" s="10">
        <v>21</v>
      </c>
      <c r="I208" s="10">
        <v>5</v>
      </c>
      <c r="J208" s="10">
        <v>13</v>
      </c>
      <c r="K208" s="10">
        <v>84</v>
      </c>
      <c r="L208" s="3">
        <f>+(Tabla1[[#This Row],[Tmax media (°C)]]-Tabla1[[#This Row],[Tmax media (°C) historica]])/Tabla1[[#This Row],[Tmax media (°C) historica]]*100</f>
        <v>5</v>
      </c>
      <c r="M208" s="3">
        <f>+(Tabla1[[#This Row],[Tmin media (°C)]]-Tabla1[[#This Row],[Tmin media (°C) historica]])/Tabla1[[#This Row],[Tmin media (°C) historica]]*100</f>
        <v>-25.373134328358208</v>
      </c>
      <c r="N208" s="3">
        <f>+(Tabla1[[#This Row],[Tmedia media (°C)]]-Tabla1[[#This Row],[Tmedia media (°C) historica]])/Tabla1[[#This Row],[Tmedia media (°C) historica]]*100</f>
        <v>-1.5151515151515098</v>
      </c>
      <c r="O208" s="3">
        <f>+(Tabla1[[#This Row],[Prec acum (mm)]]-Tabla1[[#This Row],[Prec acum (mm) historica]])/Tabla1[[#This Row],[Prec acum (mm) historica]]*100</f>
        <v>13.513513513513514</v>
      </c>
    </row>
    <row r="209" spans="1:15" hidden="1" x14ac:dyDescent="0.25">
      <c r="A209">
        <v>1982</v>
      </c>
      <c r="B209" t="s">
        <v>16</v>
      </c>
      <c r="C209" t="s">
        <v>26</v>
      </c>
      <c r="D209" s="6">
        <v>22.8</v>
      </c>
      <c r="E209" s="6">
        <v>9.8000000000000007</v>
      </c>
      <c r="F209" s="6">
        <v>16.7</v>
      </c>
      <c r="G209" s="6">
        <v>74</v>
      </c>
      <c r="H209" s="10">
        <v>21.1</v>
      </c>
      <c r="I209" s="10">
        <v>9.6</v>
      </c>
      <c r="J209" s="10">
        <v>15.3</v>
      </c>
      <c r="K209" s="10">
        <v>61</v>
      </c>
      <c r="L209" s="3">
        <f>+(Tabla1[[#This Row],[Tmax media (°C)]]-Tabla1[[#This Row],[Tmax media (°C) historica]])/Tabla1[[#This Row],[Tmax media (°C) historica]]*100</f>
        <v>-7.45614035087719</v>
      </c>
      <c r="M209" s="3">
        <f>+(Tabla1[[#This Row],[Tmin media (°C)]]-Tabla1[[#This Row],[Tmin media (°C) historica]])/Tabla1[[#This Row],[Tmin media (°C) historica]]*100</f>
        <v>-2.0408163265306229</v>
      </c>
      <c r="N209" s="3">
        <f>+(Tabla1[[#This Row],[Tmedia media (°C)]]-Tabla1[[#This Row],[Tmedia media (°C) historica]])/Tabla1[[#This Row],[Tmedia media (°C) historica]]*100</f>
        <v>-8.3832335329341241</v>
      </c>
      <c r="O209" s="3">
        <f>+(Tabla1[[#This Row],[Prec acum (mm)]]-Tabla1[[#This Row],[Prec acum (mm) historica]])/Tabla1[[#This Row],[Prec acum (mm) historica]]*100</f>
        <v>-17.567567567567568</v>
      </c>
    </row>
    <row r="210" spans="1:15" hidden="1" x14ac:dyDescent="0.25">
      <c r="A210">
        <v>1987</v>
      </c>
      <c r="B210" t="s">
        <v>16</v>
      </c>
      <c r="C210" t="s">
        <v>26</v>
      </c>
      <c r="D210" s="6">
        <v>22.8</v>
      </c>
      <c r="E210" s="6">
        <v>9.8000000000000007</v>
      </c>
      <c r="F210" s="6">
        <v>16.7</v>
      </c>
      <c r="G210" s="6">
        <v>74</v>
      </c>
      <c r="H210" s="10">
        <v>22.2</v>
      </c>
      <c r="I210" s="10">
        <v>11.6</v>
      </c>
      <c r="J210" s="10">
        <v>16.899999999999999</v>
      </c>
      <c r="K210" s="10">
        <v>117</v>
      </c>
      <c r="L210" s="4">
        <f>+(Tabla1[[#This Row],[Tmax media (°C)]]-Tabla1[[#This Row],[Tmax media (°C) historica]])/Tabla1[[#This Row],[Tmax media (°C) historica]]*100</f>
        <v>-2.631578947368427</v>
      </c>
      <c r="M210" s="4">
        <f>+(Tabla1[[#This Row],[Tmin media (°C)]]-Tabla1[[#This Row],[Tmin media (°C) historica]])/Tabla1[[#This Row],[Tmin media (°C) historica]]*100</f>
        <v>18.367346938775498</v>
      </c>
      <c r="N210" s="4">
        <f>+(Tabla1[[#This Row],[Tmedia media (°C)]]-Tabla1[[#This Row],[Tmedia media (°C) historica]])/Tabla1[[#This Row],[Tmedia media (°C) historica]]*100</f>
        <v>1.1976047904191574</v>
      </c>
      <c r="O210" s="4">
        <f>+(Tabla1[[#This Row],[Prec acum (mm)]]-Tabla1[[#This Row],[Prec acum (mm) historica]])/Tabla1[[#This Row],[Prec acum (mm) historica]]*100</f>
        <v>58.108108108108105</v>
      </c>
    </row>
    <row r="211" spans="1:15" hidden="1" x14ac:dyDescent="0.25">
      <c r="A211">
        <v>1991</v>
      </c>
      <c r="B211" t="s">
        <v>16</v>
      </c>
      <c r="C211" t="s">
        <v>26</v>
      </c>
      <c r="D211" s="6">
        <v>23.4</v>
      </c>
      <c r="E211" s="6">
        <v>9.3000000000000007</v>
      </c>
      <c r="F211" s="6">
        <v>16.3</v>
      </c>
      <c r="G211" s="6">
        <v>89</v>
      </c>
      <c r="H211" s="10">
        <v>22.7</v>
      </c>
      <c r="I211" s="10">
        <v>10.6</v>
      </c>
      <c r="J211" s="10">
        <v>16.7</v>
      </c>
      <c r="K211" s="10">
        <v>89</v>
      </c>
      <c r="L211" s="3">
        <f>+(Tabla1[[#This Row],[Tmax media (°C)]]-Tabla1[[#This Row],[Tmax media (°C) historica]])/Tabla1[[#This Row],[Tmax media (°C) historica]]*100</f>
        <v>-2.9914529914529884</v>
      </c>
      <c r="M211" s="3">
        <f>+(Tabla1[[#This Row],[Tmin media (°C)]]-Tabla1[[#This Row],[Tmin media (°C) historica]])/Tabla1[[#This Row],[Tmin media (°C) historica]]*100</f>
        <v>13.978494623655902</v>
      </c>
      <c r="N211" s="3">
        <f>+(Tabla1[[#This Row],[Tmedia media (°C)]]-Tabla1[[#This Row],[Tmedia media (°C) historica]])/Tabla1[[#This Row],[Tmedia media (°C) historica]]*100</f>
        <v>2.4539877300613409</v>
      </c>
      <c r="O211" s="3">
        <f>+(Tabla1[[#This Row],[Prec acum (mm)]]-Tabla1[[#This Row],[Prec acum (mm) historica]])/Tabla1[[#This Row],[Prec acum (mm) historica]]*100</f>
        <v>0</v>
      </c>
    </row>
    <row r="212" spans="1:15" hidden="1" x14ac:dyDescent="0.25">
      <c r="A212">
        <v>1994</v>
      </c>
      <c r="B212" t="s">
        <v>16</v>
      </c>
      <c r="C212" t="s">
        <v>26</v>
      </c>
      <c r="D212" s="6">
        <v>23.4</v>
      </c>
      <c r="E212" s="6">
        <v>9.3000000000000007</v>
      </c>
      <c r="F212" s="6">
        <v>16.3</v>
      </c>
      <c r="G212" s="6">
        <v>89</v>
      </c>
      <c r="H212" s="10">
        <v>24.6</v>
      </c>
      <c r="I212" s="10">
        <v>9.1999999999999993</v>
      </c>
      <c r="J212" s="10">
        <v>16.899999999999999</v>
      </c>
      <c r="K212" s="10">
        <v>25</v>
      </c>
      <c r="L212" s="4">
        <f>+(Tabla1[[#This Row],[Tmax media (°C)]]-Tabla1[[#This Row],[Tmax media (°C) historica]])/Tabla1[[#This Row],[Tmax media (°C) historica]]*100</f>
        <v>5.1282051282051402</v>
      </c>
      <c r="M212" s="4">
        <f>+(Tabla1[[#This Row],[Tmin media (°C)]]-Tabla1[[#This Row],[Tmin media (°C) historica]])/Tabla1[[#This Row],[Tmin media (°C) historica]]*100</f>
        <v>-1.0752688172043163</v>
      </c>
      <c r="N212" s="4">
        <f>+(Tabla1[[#This Row],[Tmedia media (°C)]]-Tabla1[[#This Row],[Tmedia media (°C) historica]])/Tabla1[[#This Row],[Tmedia media (°C) historica]]*100</f>
        <v>3.6809815950920117</v>
      </c>
      <c r="O212" s="4">
        <f>+(Tabla1[[#This Row],[Prec acum (mm)]]-Tabla1[[#This Row],[Prec acum (mm) historica]])/Tabla1[[#This Row],[Prec acum (mm) historica]]*100</f>
        <v>-71.910112359550567</v>
      </c>
    </row>
    <row r="213" spans="1:15" hidden="1" x14ac:dyDescent="0.25">
      <c r="A213">
        <v>1997</v>
      </c>
      <c r="B213" t="s">
        <v>16</v>
      </c>
      <c r="C213" t="s">
        <v>26</v>
      </c>
      <c r="D213" s="6">
        <v>23.4</v>
      </c>
      <c r="E213" s="6">
        <v>9.3000000000000007</v>
      </c>
      <c r="F213" s="6">
        <v>16.3</v>
      </c>
      <c r="G213" s="6">
        <v>89</v>
      </c>
      <c r="H213" s="10">
        <v>21.5</v>
      </c>
      <c r="I213" s="10">
        <v>9.3000000000000007</v>
      </c>
      <c r="J213" s="10">
        <v>15.4</v>
      </c>
      <c r="K213" s="10">
        <v>65</v>
      </c>
      <c r="L213" s="3">
        <f>+(Tabla1[[#This Row],[Tmax media (°C)]]-Tabla1[[#This Row],[Tmax media (°C) historica]])/Tabla1[[#This Row],[Tmax media (°C) historica]]*100</f>
        <v>-8.1196581196581139</v>
      </c>
      <c r="M213" s="3">
        <f>+(Tabla1[[#This Row],[Tmin media (°C)]]-Tabla1[[#This Row],[Tmin media (°C) historica]])/Tabla1[[#This Row],[Tmin media (°C) historica]]*100</f>
        <v>0</v>
      </c>
      <c r="N213" s="3">
        <f>+(Tabla1[[#This Row],[Tmedia media (°C)]]-Tabla1[[#This Row],[Tmedia media (°C) historica]])/Tabla1[[#This Row],[Tmedia media (°C) historica]]*100</f>
        <v>-5.5214723926380387</v>
      </c>
      <c r="O213" s="3">
        <f>+(Tabla1[[#This Row],[Prec acum (mm)]]-Tabla1[[#This Row],[Prec acum (mm) historica]])/Tabla1[[#This Row],[Prec acum (mm) historica]]*100</f>
        <v>-26.966292134831459</v>
      </c>
    </row>
    <row r="214" spans="1:15" hidden="1" x14ac:dyDescent="0.25">
      <c r="A214">
        <v>2002</v>
      </c>
      <c r="B214" t="s">
        <v>16</v>
      </c>
      <c r="C214" t="s">
        <v>26</v>
      </c>
      <c r="D214" s="6">
        <v>23.4</v>
      </c>
      <c r="E214" s="6">
        <v>9.3000000000000007</v>
      </c>
      <c r="F214" s="6">
        <v>16.3</v>
      </c>
      <c r="G214" s="6">
        <v>89</v>
      </c>
      <c r="H214" s="10">
        <v>22.1</v>
      </c>
      <c r="I214" s="10">
        <v>10.6</v>
      </c>
      <c r="J214" s="10">
        <v>16.399999999999999</v>
      </c>
      <c r="K214" s="10">
        <v>160</v>
      </c>
      <c r="L214" s="4">
        <f>+(Tabla1[[#This Row],[Tmax media (°C)]]-Tabla1[[#This Row],[Tmax media (°C) historica]])/Tabla1[[#This Row],[Tmax media (°C) historica]]*100</f>
        <v>-5.5555555555555438</v>
      </c>
      <c r="M214" s="4">
        <f>+(Tabla1[[#This Row],[Tmin media (°C)]]-Tabla1[[#This Row],[Tmin media (°C) historica]])/Tabla1[[#This Row],[Tmin media (°C) historica]]*100</f>
        <v>13.978494623655902</v>
      </c>
      <c r="N214" s="4">
        <f>+(Tabla1[[#This Row],[Tmedia media (°C)]]-Tabla1[[#This Row],[Tmedia media (°C) historica]])/Tabla1[[#This Row],[Tmedia media (°C) historica]]*100</f>
        <v>0.61349693251532433</v>
      </c>
      <c r="O214" s="4">
        <f>+(Tabla1[[#This Row],[Prec acum (mm)]]-Tabla1[[#This Row],[Prec acum (mm) historica]])/Tabla1[[#This Row],[Prec acum (mm) historica]]*100</f>
        <v>79.775280898876403</v>
      </c>
    </row>
    <row r="215" spans="1:15" hidden="1" x14ac:dyDescent="0.25">
      <c r="A215">
        <v>2004</v>
      </c>
      <c r="B215" t="s">
        <v>16</v>
      </c>
      <c r="C215" t="s">
        <v>26</v>
      </c>
      <c r="D215" s="6">
        <v>23.4</v>
      </c>
      <c r="E215" s="6">
        <v>9.3000000000000007</v>
      </c>
      <c r="F215" s="6">
        <v>16.3</v>
      </c>
      <c r="G215" s="6">
        <v>89</v>
      </c>
      <c r="H215" s="10">
        <v>21.9</v>
      </c>
      <c r="I215" s="10">
        <v>10</v>
      </c>
      <c r="J215" s="10">
        <v>16</v>
      </c>
      <c r="K215" s="10">
        <v>53</v>
      </c>
      <c r="L215" s="3">
        <f>+(Tabla1[[#This Row],[Tmax media (°C)]]-Tabla1[[#This Row],[Tmax media (°C) historica]])/Tabla1[[#This Row],[Tmax media (°C) historica]]*100</f>
        <v>-6.4102564102564115</v>
      </c>
      <c r="M215" s="3">
        <f>+(Tabla1[[#This Row],[Tmin media (°C)]]-Tabla1[[#This Row],[Tmin media (°C) historica]])/Tabla1[[#This Row],[Tmin media (°C) historica]]*100</f>
        <v>7.5268817204300991</v>
      </c>
      <c r="N215" s="3">
        <f>+(Tabla1[[#This Row],[Tmedia media (°C)]]-Tabla1[[#This Row],[Tmedia media (°C) historica]])/Tabla1[[#This Row],[Tmedia media (°C) historica]]*100</f>
        <v>-1.8404907975460165</v>
      </c>
      <c r="O215" s="3">
        <f>+(Tabla1[[#This Row],[Prec acum (mm)]]-Tabla1[[#This Row],[Prec acum (mm) historica]])/Tabla1[[#This Row],[Prec acum (mm) historica]]*100</f>
        <v>-40.449438202247187</v>
      </c>
    </row>
    <row r="216" spans="1:15" hidden="1" x14ac:dyDescent="0.25">
      <c r="A216">
        <v>2015</v>
      </c>
      <c r="B216" t="s">
        <v>16</v>
      </c>
      <c r="C216" t="s">
        <v>26</v>
      </c>
      <c r="D216" s="6">
        <v>23.4</v>
      </c>
      <c r="E216" s="6">
        <v>9.3000000000000007</v>
      </c>
      <c r="F216" s="6">
        <v>16.3</v>
      </c>
      <c r="G216" s="6">
        <v>89</v>
      </c>
      <c r="H216" s="10">
        <v>24</v>
      </c>
      <c r="I216" s="10">
        <v>8.1999999999999993</v>
      </c>
      <c r="J216" s="10">
        <v>16.100000000000001</v>
      </c>
      <c r="K216" s="10">
        <v>146</v>
      </c>
      <c r="L216" s="4">
        <f>+(Tabla1[[#This Row],[Tmax media (°C)]]-Tabla1[[#This Row],[Tmax media (°C) historica]])/Tabla1[[#This Row],[Tmax media (°C) historica]]*100</f>
        <v>2.5641025641025701</v>
      </c>
      <c r="M216" s="4">
        <f>+(Tabla1[[#This Row],[Tmin media (°C)]]-Tabla1[[#This Row],[Tmin media (°C) historica]])/Tabla1[[#This Row],[Tmin media (°C) historica]]*100</f>
        <v>-11.827956989247326</v>
      </c>
      <c r="N216" s="4">
        <f>+(Tabla1[[#This Row],[Tmedia media (°C)]]-Tabla1[[#This Row],[Tmedia media (°C) historica]])/Tabla1[[#This Row],[Tmedia media (°C) historica]]*100</f>
        <v>-1.2269938650306704</v>
      </c>
      <c r="O216" s="4">
        <f>+(Tabla1[[#This Row],[Prec acum (mm)]]-Tabla1[[#This Row],[Prec acum (mm) historica]])/Tabla1[[#This Row],[Prec acum (mm) historica]]*100</f>
        <v>64.044943820224717</v>
      </c>
    </row>
    <row r="217" spans="1:15" hidden="1" x14ac:dyDescent="0.25">
      <c r="A217">
        <v>2023</v>
      </c>
      <c r="B217" t="s">
        <v>16</v>
      </c>
      <c r="C217" t="s">
        <v>26</v>
      </c>
      <c r="D217" s="6">
        <v>23.4</v>
      </c>
      <c r="E217" s="6">
        <v>9.3000000000000007</v>
      </c>
      <c r="F217" s="6">
        <v>16.3</v>
      </c>
      <c r="G217" s="6">
        <v>89</v>
      </c>
      <c r="H217" s="10">
        <v>24.1</v>
      </c>
      <c r="I217" s="10">
        <v>7</v>
      </c>
      <c r="J217" s="10">
        <v>15.6</v>
      </c>
      <c r="K217" s="10">
        <v>147</v>
      </c>
      <c r="L217" s="3">
        <f>+(Tabla1[[#This Row],[Tmax media (°C)]]-Tabla1[[#This Row],[Tmax media (°C) historica]])/Tabla1[[#This Row],[Tmax media (°C) historica]]*100</f>
        <v>2.9914529914530039</v>
      </c>
      <c r="M217" s="3">
        <f>+(Tabla1[[#This Row],[Tmin media (°C)]]-Tabla1[[#This Row],[Tmin media (°C) historica]])/Tabla1[[#This Row],[Tmin media (°C) historica]]*100</f>
        <v>-24.731182795698931</v>
      </c>
      <c r="N217" s="3">
        <f>+(Tabla1[[#This Row],[Tmedia media (°C)]]-Tabla1[[#This Row],[Tmedia media (°C) historica]])/Tabla1[[#This Row],[Tmedia media (°C) historica]]*100</f>
        <v>-4.2944785276073683</v>
      </c>
      <c r="O217" s="3">
        <f>+(Tabla1[[#This Row],[Prec acum (mm)]]-Tabla1[[#This Row],[Prec acum (mm) historica]])/Tabla1[[#This Row],[Prec acum (mm) historica]]*100</f>
        <v>65.168539325842701</v>
      </c>
    </row>
    <row r="218" spans="1:15" hidden="1" x14ac:dyDescent="0.25">
      <c r="A218">
        <v>1982</v>
      </c>
      <c r="B218" t="s">
        <v>16</v>
      </c>
      <c r="C218" t="s">
        <v>27</v>
      </c>
      <c r="D218" s="6">
        <v>26.6</v>
      </c>
      <c r="E218" s="6">
        <v>12.1</v>
      </c>
      <c r="F218" s="6">
        <v>19.100000000000001</v>
      </c>
      <c r="G218" s="6">
        <v>68</v>
      </c>
      <c r="H218" s="10">
        <v>27.8</v>
      </c>
      <c r="I218" s="10">
        <v>13.4</v>
      </c>
      <c r="J218" s="10">
        <v>20.6</v>
      </c>
      <c r="K218" s="10">
        <v>125</v>
      </c>
      <c r="L218" s="3">
        <f>+(Tabla1[[#This Row],[Tmax media (°C)]]-Tabla1[[#This Row],[Tmax media (°C) historica]])/Tabla1[[#This Row],[Tmax media (°C) historica]]*100</f>
        <v>4.5112781954887184</v>
      </c>
      <c r="M218" s="3">
        <f>+(Tabla1[[#This Row],[Tmin media (°C)]]-Tabla1[[#This Row],[Tmin media (°C) historica]])/Tabla1[[#This Row],[Tmin media (°C) historica]]*100</f>
        <v>10.743801652892568</v>
      </c>
      <c r="N218" s="3">
        <f>+(Tabla1[[#This Row],[Tmedia media (°C)]]-Tabla1[[#This Row],[Tmedia media (°C) historica]])/Tabla1[[#This Row],[Tmedia media (°C) historica]]*100</f>
        <v>7.8534031413612562</v>
      </c>
      <c r="O218" s="3">
        <f>+(Tabla1[[#This Row],[Prec acum (mm)]]-Tabla1[[#This Row],[Prec acum (mm) historica]])/Tabla1[[#This Row],[Prec acum (mm) historica]]*100</f>
        <v>83.82352941176471</v>
      </c>
    </row>
    <row r="219" spans="1:15" hidden="1" x14ac:dyDescent="0.25">
      <c r="A219">
        <v>1987</v>
      </c>
      <c r="B219" t="s">
        <v>16</v>
      </c>
      <c r="C219" t="s">
        <v>27</v>
      </c>
      <c r="D219" s="6">
        <v>26.6</v>
      </c>
      <c r="E219" s="6">
        <v>12.1</v>
      </c>
      <c r="F219" s="6">
        <v>19.100000000000001</v>
      </c>
      <c r="G219" s="6">
        <v>68</v>
      </c>
      <c r="H219" s="10">
        <v>23.9</v>
      </c>
      <c r="I219" s="10">
        <v>11.7</v>
      </c>
      <c r="J219" s="10">
        <v>17.8</v>
      </c>
      <c r="K219" s="10">
        <v>93</v>
      </c>
      <c r="L219" s="4">
        <f>+(Tabla1[[#This Row],[Tmax media (°C)]]-Tabla1[[#This Row],[Tmax media (°C) historica]])/Tabla1[[#This Row],[Tmax media (°C) historica]]*100</f>
        <v>-10.150375939849635</v>
      </c>
      <c r="M219" s="4">
        <f>+(Tabla1[[#This Row],[Tmin media (°C)]]-Tabla1[[#This Row],[Tmin media (°C) historica]])/Tabla1[[#This Row],[Tmin media (°C) historica]]*100</f>
        <v>-3.3057851239669449</v>
      </c>
      <c r="N219" s="4">
        <f>+(Tabla1[[#This Row],[Tmedia media (°C)]]-Tabla1[[#This Row],[Tmedia media (°C) historica]])/Tabla1[[#This Row],[Tmedia media (°C) historica]]*100</f>
        <v>-6.8062827225130924</v>
      </c>
      <c r="O219" s="4">
        <f>+(Tabla1[[#This Row],[Prec acum (mm)]]-Tabla1[[#This Row],[Prec acum (mm) historica]])/Tabla1[[#This Row],[Prec acum (mm) historica]]*100</f>
        <v>36.764705882352942</v>
      </c>
    </row>
    <row r="220" spans="1:15" hidden="1" x14ac:dyDescent="0.25">
      <c r="A220">
        <v>1991</v>
      </c>
      <c r="B220" t="s">
        <v>16</v>
      </c>
      <c r="C220" t="s">
        <v>27</v>
      </c>
      <c r="D220" s="6">
        <v>27.1</v>
      </c>
      <c r="E220" s="6">
        <v>11.7</v>
      </c>
      <c r="F220" s="6">
        <v>19.100000000000001</v>
      </c>
      <c r="G220" s="6">
        <v>60</v>
      </c>
      <c r="H220" s="10">
        <v>25.1</v>
      </c>
      <c r="I220" s="10">
        <v>12.6</v>
      </c>
      <c r="J220" s="10">
        <v>18.8</v>
      </c>
      <c r="K220" s="10">
        <v>116</v>
      </c>
      <c r="L220" s="3">
        <f>+(Tabla1[[#This Row],[Tmax media (°C)]]-Tabla1[[#This Row],[Tmax media (°C) historica]])/Tabla1[[#This Row],[Tmax media (°C) historica]]*100</f>
        <v>-7.3800738007380069</v>
      </c>
      <c r="M220" s="3">
        <f>+(Tabla1[[#This Row],[Tmin media (°C)]]-Tabla1[[#This Row],[Tmin media (°C) historica]])/Tabla1[[#This Row],[Tmin media (°C) historica]]*100</f>
        <v>7.6923076923076952</v>
      </c>
      <c r="N220" s="3">
        <f>+(Tabla1[[#This Row],[Tmedia media (°C)]]-Tabla1[[#This Row],[Tmedia media (°C) historica]])/Tabla1[[#This Row],[Tmedia media (°C) historica]]*100</f>
        <v>-1.570680628272255</v>
      </c>
      <c r="O220" s="3">
        <f>+(Tabla1[[#This Row],[Prec acum (mm)]]-Tabla1[[#This Row],[Prec acum (mm) historica]])/Tabla1[[#This Row],[Prec acum (mm) historica]]*100</f>
        <v>93.333333333333329</v>
      </c>
    </row>
    <row r="221" spans="1:15" hidden="1" x14ac:dyDescent="0.25">
      <c r="A221">
        <v>1994</v>
      </c>
      <c r="B221" t="s">
        <v>16</v>
      </c>
      <c r="C221" t="s">
        <v>27</v>
      </c>
      <c r="D221" s="6">
        <v>27.1</v>
      </c>
      <c r="E221" s="6">
        <v>11.7</v>
      </c>
      <c r="F221" s="6">
        <v>19.100000000000001</v>
      </c>
      <c r="G221" s="6">
        <v>60</v>
      </c>
      <c r="H221" s="10">
        <v>27.8</v>
      </c>
      <c r="I221" s="10">
        <v>13.8</v>
      </c>
      <c r="J221" s="10">
        <v>20.8</v>
      </c>
      <c r="K221" s="10">
        <v>140</v>
      </c>
      <c r="L221" s="4">
        <f>+(Tabla1[[#This Row],[Tmax media (°C)]]-Tabla1[[#This Row],[Tmax media (°C) historica]])/Tabla1[[#This Row],[Tmax media (°C) historica]]*100</f>
        <v>2.5830258302583</v>
      </c>
      <c r="M221" s="4">
        <f>+(Tabla1[[#This Row],[Tmin media (°C)]]-Tabla1[[#This Row],[Tmin media (°C) historica]])/Tabla1[[#This Row],[Tmin media (°C) historica]]*100</f>
        <v>17.948717948717963</v>
      </c>
      <c r="N221" s="4">
        <f>+(Tabla1[[#This Row],[Tmedia media (°C)]]-Tabla1[[#This Row],[Tmedia media (°C) historica]])/Tabla1[[#This Row],[Tmedia media (°C) historica]]*100</f>
        <v>8.9005235602094199</v>
      </c>
      <c r="O221" s="4">
        <f>+(Tabla1[[#This Row],[Prec acum (mm)]]-Tabla1[[#This Row],[Prec acum (mm) historica]])/Tabla1[[#This Row],[Prec acum (mm) historica]]*100</f>
        <v>133.33333333333331</v>
      </c>
    </row>
    <row r="222" spans="1:15" hidden="1" x14ac:dyDescent="0.25">
      <c r="A222">
        <v>1997</v>
      </c>
      <c r="B222" t="s">
        <v>16</v>
      </c>
      <c r="C222" t="s">
        <v>27</v>
      </c>
      <c r="D222" s="6">
        <v>27.1</v>
      </c>
      <c r="E222" s="6">
        <v>11.7</v>
      </c>
      <c r="F222" s="6">
        <v>19.100000000000001</v>
      </c>
      <c r="G222" s="6">
        <v>60</v>
      </c>
      <c r="H222" s="10">
        <v>23.6</v>
      </c>
      <c r="I222" s="10">
        <v>11</v>
      </c>
      <c r="J222" s="10">
        <v>17.3</v>
      </c>
      <c r="K222" s="10">
        <v>93</v>
      </c>
      <c r="L222" s="3">
        <f>+(Tabla1[[#This Row],[Tmax media (°C)]]-Tabla1[[#This Row],[Tmax media (°C) historica]])/Tabla1[[#This Row],[Tmax media (°C) historica]]*100</f>
        <v>-12.915129151291513</v>
      </c>
      <c r="M222" s="3">
        <f>+(Tabla1[[#This Row],[Tmin media (°C)]]-Tabla1[[#This Row],[Tmin media (°C) historica]])/Tabla1[[#This Row],[Tmin media (°C) historica]]*100</f>
        <v>-5.9829059829059767</v>
      </c>
      <c r="N222" s="3">
        <f>+(Tabla1[[#This Row],[Tmedia media (°C)]]-Tabla1[[#This Row],[Tmedia media (°C) historica]])/Tabla1[[#This Row],[Tmedia media (°C) historica]]*100</f>
        <v>-9.4240837696335102</v>
      </c>
      <c r="O222" s="3">
        <f>+(Tabla1[[#This Row],[Prec acum (mm)]]-Tabla1[[#This Row],[Prec acum (mm) historica]])/Tabla1[[#This Row],[Prec acum (mm) historica]]*100</f>
        <v>55.000000000000007</v>
      </c>
    </row>
    <row r="223" spans="1:15" hidden="1" x14ac:dyDescent="0.25">
      <c r="A223">
        <v>2002</v>
      </c>
      <c r="B223" t="s">
        <v>16</v>
      </c>
      <c r="C223" t="s">
        <v>27</v>
      </c>
      <c r="D223" s="6">
        <v>27.1</v>
      </c>
      <c r="E223" s="6">
        <v>11.7</v>
      </c>
      <c r="F223" s="6">
        <v>19.100000000000001</v>
      </c>
      <c r="G223" s="6">
        <v>60</v>
      </c>
      <c r="H223" s="10">
        <v>25.3</v>
      </c>
      <c r="I223" s="10">
        <v>12.5</v>
      </c>
      <c r="J223" s="10">
        <v>18.899999999999999</v>
      </c>
      <c r="K223" s="10">
        <v>63</v>
      </c>
      <c r="L223" s="4">
        <f>+(Tabla1[[#This Row],[Tmax media (°C)]]-Tabla1[[#This Row],[Tmax media (°C) historica]])/Tabla1[[#This Row],[Tmax media (°C) historica]]*100</f>
        <v>-6.6420664206642082</v>
      </c>
      <c r="M223" s="4">
        <f>+(Tabla1[[#This Row],[Tmin media (°C)]]-Tabla1[[#This Row],[Tmin media (°C) historica]])/Tabla1[[#This Row],[Tmin media (°C) historica]]*100</f>
        <v>6.8376068376068435</v>
      </c>
      <c r="N223" s="4">
        <f>+(Tabla1[[#This Row],[Tmedia media (°C)]]-Tabla1[[#This Row],[Tmedia media (°C) historica]])/Tabla1[[#This Row],[Tmedia media (°C) historica]]*100</f>
        <v>-1.0471204188481824</v>
      </c>
      <c r="O223" s="4">
        <f>+(Tabla1[[#This Row],[Prec acum (mm)]]-Tabla1[[#This Row],[Prec acum (mm) historica]])/Tabla1[[#This Row],[Prec acum (mm) historica]]*100</f>
        <v>5</v>
      </c>
    </row>
    <row r="224" spans="1:15" hidden="1" x14ac:dyDescent="0.25">
      <c r="A224">
        <v>2004</v>
      </c>
      <c r="B224" t="s">
        <v>16</v>
      </c>
      <c r="C224" t="s">
        <v>27</v>
      </c>
      <c r="D224" s="6">
        <v>27.1</v>
      </c>
      <c r="E224" s="6">
        <v>11.7</v>
      </c>
      <c r="F224" s="6">
        <v>19.100000000000001</v>
      </c>
      <c r="G224" s="6">
        <v>60</v>
      </c>
      <c r="H224" s="10">
        <v>26.7</v>
      </c>
      <c r="I224" s="10">
        <v>12.6</v>
      </c>
      <c r="J224" s="10">
        <v>19.600000000000001</v>
      </c>
      <c r="K224" s="10">
        <v>51</v>
      </c>
      <c r="L224" s="3">
        <f>+(Tabla1[[#This Row],[Tmax media (°C)]]-Tabla1[[#This Row],[Tmax media (°C) historica]])/Tabla1[[#This Row],[Tmax media (°C) historica]]*100</f>
        <v>-1.4760147601476092</v>
      </c>
      <c r="M224" s="3">
        <f>+(Tabla1[[#This Row],[Tmin media (°C)]]-Tabla1[[#This Row],[Tmin media (°C) historica]])/Tabla1[[#This Row],[Tmin media (°C) historica]]*100</f>
        <v>7.6923076923076952</v>
      </c>
      <c r="N224" s="3">
        <f>+(Tabla1[[#This Row],[Tmedia media (°C)]]-Tabla1[[#This Row],[Tmedia media (°C) historica]])/Tabla1[[#This Row],[Tmedia media (°C) historica]]*100</f>
        <v>2.6178010471204183</v>
      </c>
      <c r="O224" s="3">
        <f>+(Tabla1[[#This Row],[Prec acum (mm)]]-Tabla1[[#This Row],[Prec acum (mm) historica]])/Tabla1[[#This Row],[Prec acum (mm) historica]]*100</f>
        <v>-15</v>
      </c>
    </row>
    <row r="225" spans="1:15" hidden="1" x14ac:dyDescent="0.25">
      <c r="A225">
        <v>2015</v>
      </c>
      <c r="B225" t="s">
        <v>16</v>
      </c>
      <c r="C225" t="s">
        <v>27</v>
      </c>
      <c r="D225" s="6">
        <v>27.1</v>
      </c>
      <c r="E225" s="6">
        <v>11.7</v>
      </c>
      <c r="F225" s="6">
        <v>19.100000000000001</v>
      </c>
      <c r="G225" s="6">
        <v>60</v>
      </c>
      <c r="H225" s="10">
        <v>28.2</v>
      </c>
      <c r="I225" s="10">
        <v>11.8</v>
      </c>
      <c r="J225" s="10">
        <v>20</v>
      </c>
      <c r="K225" s="10">
        <v>27</v>
      </c>
      <c r="L225" s="4">
        <f>+(Tabla1[[#This Row],[Tmax media (°C)]]-Tabla1[[#This Row],[Tmax media (°C) historica]])/Tabla1[[#This Row],[Tmax media (°C) historica]]*100</f>
        <v>4.0590405904058962</v>
      </c>
      <c r="M225" s="4">
        <f>+(Tabla1[[#This Row],[Tmin media (°C)]]-Tabla1[[#This Row],[Tmin media (°C) historica]])/Tabla1[[#This Row],[Tmin media (°C) historica]]*100</f>
        <v>0.85470085470086699</v>
      </c>
      <c r="N225" s="4">
        <f>+(Tabla1[[#This Row],[Tmedia media (°C)]]-Tabla1[[#This Row],[Tmedia media (°C) historica]])/Tabla1[[#This Row],[Tmedia media (°C) historica]]*100</f>
        <v>4.7120418848167462</v>
      </c>
      <c r="O225" s="4">
        <f>+(Tabla1[[#This Row],[Prec acum (mm)]]-Tabla1[[#This Row],[Prec acum (mm) historica]])/Tabla1[[#This Row],[Prec acum (mm) historica]]*100</f>
        <v>-55.000000000000007</v>
      </c>
    </row>
    <row r="226" spans="1:15" hidden="1" x14ac:dyDescent="0.25">
      <c r="A226">
        <v>2023</v>
      </c>
      <c r="B226" t="s">
        <v>16</v>
      </c>
      <c r="C226" t="s">
        <v>27</v>
      </c>
      <c r="D226" s="6">
        <v>27.1</v>
      </c>
      <c r="E226" s="6">
        <v>11.7</v>
      </c>
      <c r="F226" s="6">
        <v>19.100000000000001</v>
      </c>
      <c r="G226" s="6">
        <v>60</v>
      </c>
      <c r="H226" s="10">
        <v>25.6</v>
      </c>
      <c r="I226" s="10">
        <v>11.7</v>
      </c>
      <c r="J226" s="10">
        <v>18.600000000000001</v>
      </c>
      <c r="K226" s="10">
        <v>241</v>
      </c>
      <c r="L226" s="3">
        <f>+(Tabla1[[#This Row],[Tmax media (°C)]]-Tabla1[[#This Row],[Tmax media (°C) historica]])/Tabla1[[#This Row],[Tmax media (°C) historica]]*100</f>
        <v>-5.5350553505535052</v>
      </c>
      <c r="M226" s="3">
        <f>+(Tabla1[[#This Row],[Tmin media (°C)]]-Tabla1[[#This Row],[Tmin media (°C) historica]])/Tabla1[[#This Row],[Tmin media (°C) historica]]*100</f>
        <v>0</v>
      </c>
      <c r="N226" s="3">
        <f>+(Tabla1[[#This Row],[Tmedia media (°C)]]-Tabla1[[#This Row],[Tmedia media (°C) historica]])/Tabla1[[#This Row],[Tmedia media (°C) historica]]*100</f>
        <v>-2.6178010471204183</v>
      </c>
      <c r="O226" s="3">
        <f>+(Tabla1[[#This Row],[Prec acum (mm)]]-Tabla1[[#This Row],[Prec acum (mm) historica]])/Tabla1[[#This Row],[Prec acum (mm) historica]]*100</f>
        <v>301.66666666666669</v>
      </c>
    </row>
    <row r="227" spans="1:15" hidden="1" x14ac:dyDescent="0.25">
      <c r="A227">
        <v>1982</v>
      </c>
      <c r="B227" t="s">
        <v>16</v>
      </c>
      <c r="C227" t="s">
        <v>28</v>
      </c>
      <c r="D227" s="6">
        <v>27.6</v>
      </c>
      <c r="E227" s="6">
        <v>14</v>
      </c>
      <c r="F227" s="6">
        <v>20.8</v>
      </c>
      <c r="G227" s="6">
        <v>99</v>
      </c>
      <c r="H227" s="10">
        <v>28.6</v>
      </c>
      <c r="I227" s="10">
        <v>16.399999999999999</v>
      </c>
      <c r="J227" s="10">
        <v>22.5</v>
      </c>
      <c r="K227" s="10">
        <v>158</v>
      </c>
      <c r="L227" s="3">
        <f>+(Tabla1[[#This Row],[Tmax media (°C)]]-Tabla1[[#This Row],[Tmax media (°C) historica]])/Tabla1[[#This Row],[Tmax media (°C) historica]]*100</f>
        <v>3.6231884057971016</v>
      </c>
      <c r="M227" s="3">
        <f>+(Tabla1[[#This Row],[Tmin media (°C)]]-Tabla1[[#This Row],[Tmin media (°C) historica]])/Tabla1[[#This Row],[Tmin media (°C) historica]]*100</f>
        <v>17.142857142857132</v>
      </c>
      <c r="N227" s="3">
        <f>+(Tabla1[[#This Row],[Tmedia media (°C)]]-Tabla1[[#This Row],[Tmedia media (°C) historica]])/Tabla1[[#This Row],[Tmedia media (°C) historica]]*100</f>
        <v>8.1730769230769198</v>
      </c>
      <c r="O227" s="3">
        <f>+(Tabla1[[#This Row],[Prec acum (mm)]]-Tabla1[[#This Row],[Prec acum (mm) historica]])/Tabla1[[#This Row],[Prec acum (mm) historica]]*100</f>
        <v>59.595959595959592</v>
      </c>
    </row>
    <row r="228" spans="1:15" hidden="1" x14ac:dyDescent="0.25">
      <c r="A228">
        <v>1987</v>
      </c>
      <c r="B228" t="s">
        <v>16</v>
      </c>
      <c r="C228" t="s">
        <v>28</v>
      </c>
      <c r="D228" s="6">
        <v>27.6</v>
      </c>
      <c r="E228" s="6">
        <v>14</v>
      </c>
      <c r="F228" s="6">
        <v>20.8</v>
      </c>
      <c r="G228" s="6">
        <v>99</v>
      </c>
      <c r="H228" s="10">
        <v>26.8</v>
      </c>
      <c r="I228" s="10">
        <v>13.2</v>
      </c>
      <c r="J228" s="10">
        <v>20</v>
      </c>
      <c r="K228" s="10">
        <v>115</v>
      </c>
      <c r="L228" s="4">
        <f>+(Tabla1[[#This Row],[Tmax media (°C)]]-Tabla1[[#This Row],[Tmax media (°C) historica]])/Tabla1[[#This Row],[Tmax media (°C) historica]]*100</f>
        <v>-2.8985507246376838</v>
      </c>
      <c r="M228" s="4">
        <f>+(Tabla1[[#This Row],[Tmin media (°C)]]-Tabla1[[#This Row],[Tmin media (°C) historica]])/Tabla1[[#This Row],[Tmin media (°C) historica]]*100</f>
        <v>-5.7142857142857197</v>
      </c>
      <c r="N228" s="4">
        <f>+(Tabla1[[#This Row],[Tmedia media (°C)]]-Tabla1[[#This Row],[Tmedia media (°C) historica]])/Tabla1[[#This Row],[Tmedia media (°C) historica]]*100</f>
        <v>-3.8461538461538494</v>
      </c>
      <c r="O228" s="4">
        <f>+(Tabla1[[#This Row],[Prec acum (mm)]]-Tabla1[[#This Row],[Prec acum (mm) historica]])/Tabla1[[#This Row],[Prec acum (mm) historica]]*100</f>
        <v>16.161616161616163</v>
      </c>
    </row>
    <row r="229" spans="1:15" hidden="1" x14ac:dyDescent="0.25">
      <c r="A229">
        <v>1991</v>
      </c>
      <c r="B229" t="s">
        <v>16</v>
      </c>
      <c r="C229" t="s">
        <v>28</v>
      </c>
      <c r="D229" s="6">
        <v>28.2</v>
      </c>
      <c r="E229" s="6">
        <v>13.3</v>
      </c>
      <c r="F229" s="6">
        <v>20.8</v>
      </c>
      <c r="G229" s="6">
        <v>96</v>
      </c>
      <c r="H229" s="10">
        <v>26.9</v>
      </c>
      <c r="I229" s="10">
        <v>14.8</v>
      </c>
      <c r="J229" s="10">
        <v>20.8</v>
      </c>
      <c r="K229" s="10">
        <v>141</v>
      </c>
      <c r="L229" s="3">
        <f>+(Tabla1[[#This Row],[Tmax media (°C)]]-Tabla1[[#This Row],[Tmax media (°C) historica]])/Tabla1[[#This Row],[Tmax media (°C) historica]]*100</f>
        <v>-4.6099290780141873</v>
      </c>
      <c r="M229" s="3">
        <f>+(Tabla1[[#This Row],[Tmin media (°C)]]-Tabla1[[#This Row],[Tmin media (°C) historica]])/Tabla1[[#This Row],[Tmin media (°C) historica]]*100</f>
        <v>11.278195488721805</v>
      </c>
      <c r="N229" s="3">
        <f>+(Tabla1[[#This Row],[Tmedia media (°C)]]-Tabla1[[#This Row],[Tmedia media (°C) historica]])/Tabla1[[#This Row],[Tmedia media (°C) historica]]*100</f>
        <v>0</v>
      </c>
      <c r="O229" s="3">
        <f>+(Tabla1[[#This Row],[Prec acum (mm)]]-Tabla1[[#This Row],[Prec acum (mm) historica]])/Tabla1[[#This Row],[Prec acum (mm) historica]]*100</f>
        <v>46.875</v>
      </c>
    </row>
    <row r="230" spans="1:15" hidden="1" x14ac:dyDescent="0.25">
      <c r="A230">
        <v>1994</v>
      </c>
      <c r="B230" t="s">
        <v>16</v>
      </c>
      <c r="C230" t="s">
        <v>28</v>
      </c>
      <c r="D230" s="6">
        <v>28.2</v>
      </c>
      <c r="E230" s="6">
        <v>13.3</v>
      </c>
      <c r="F230" s="6">
        <v>20.8</v>
      </c>
      <c r="G230" s="6">
        <v>96</v>
      </c>
      <c r="H230" s="10">
        <v>27.2</v>
      </c>
      <c r="I230" s="10">
        <v>12.1</v>
      </c>
      <c r="J230" s="10">
        <v>19.7</v>
      </c>
      <c r="K230" s="10">
        <v>57</v>
      </c>
      <c r="L230" s="4">
        <f>+(Tabla1[[#This Row],[Tmax media (°C)]]-Tabla1[[#This Row],[Tmax media (°C) historica]])/Tabla1[[#This Row],[Tmax media (°C) historica]]*100</f>
        <v>-3.5460992907801421</v>
      </c>
      <c r="M230" s="4">
        <f>+(Tabla1[[#This Row],[Tmin media (°C)]]-Tabla1[[#This Row],[Tmin media (°C) historica]])/Tabla1[[#This Row],[Tmin media (°C) historica]]*100</f>
        <v>-9.0225563909774511</v>
      </c>
      <c r="N230" s="4">
        <f>+(Tabla1[[#This Row],[Tmedia media (°C)]]-Tabla1[[#This Row],[Tmedia media (°C) historica]])/Tabla1[[#This Row],[Tmedia media (°C) historica]]*100</f>
        <v>-5.2884615384615454</v>
      </c>
      <c r="O230" s="4">
        <f>+(Tabla1[[#This Row],[Prec acum (mm)]]-Tabla1[[#This Row],[Prec acum (mm) historica]])/Tabla1[[#This Row],[Prec acum (mm) historica]]*100</f>
        <v>-40.625</v>
      </c>
    </row>
    <row r="231" spans="1:15" hidden="1" x14ac:dyDescent="0.25">
      <c r="A231">
        <v>1997</v>
      </c>
      <c r="B231" t="s">
        <v>16</v>
      </c>
      <c r="C231" t="s">
        <v>28</v>
      </c>
      <c r="D231" s="6">
        <v>28.2</v>
      </c>
      <c r="E231" s="6">
        <v>13.3</v>
      </c>
      <c r="F231" s="6">
        <v>20.8</v>
      </c>
      <c r="G231" s="6">
        <v>96</v>
      </c>
      <c r="H231" s="10">
        <v>26.2</v>
      </c>
      <c r="I231" s="10">
        <v>12</v>
      </c>
      <c r="J231" s="10">
        <v>19.100000000000001</v>
      </c>
      <c r="K231" s="10">
        <v>162</v>
      </c>
      <c r="L231" s="3">
        <f>+(Tabla1[[#This Row],[Tmax media (°C)]]-Tabla1[[#This Row],[Tmax media (°C) historica]])/Tabla1[[#This Row],[Tmax media (°C) historica]]*100</f>
        <v>-7.0921985815602842</v>
      </c>
      <c r="M231" s="3">
        <f>+(Tabla1[[#This Row],[Tmin media (°C)]]-Tabla1[[#This Row],[Tmin media (°C) historica]])/Tabla1[[#This Row],[Tmin media (°C) historica]]*100</f>
        <v>-9.7744360902255689</v>
      </c>
      <c r="N231" s="3">
        <f>+(Tabla1[[#This Row],[Tmedia media (°C)]]-Tabla1[[#This Row],[Tmedia media (°C) historica]])/Tabla1[[#This Row],[Tmedia media (°C) historica]]*100</f>
        <v>-8.1730769230769198</v>
      </c>
      <c r="O231" s="3">
        <f>+(Tabla1[[#This Row],[Prec acum (mm)]]-Tabla1[[#This Row],[Prec acum (mm) historica]])/Tabla1[[#This Row],[Prec acum (mm) historica]]*100</f>
        <v>68.75</v>
      </c>
    </row>
    <row r="232" spans="1:15" hidden="1" x14ac:dyDescent="0.25">
      <c r="A232">
        <v>2002</v>
      </c>
      <c r="B232" t="s">
        <v>16</v>
      </c>
      <c r="C232" t="s">
        <v>28</v>
      </c>
      <c r="D232" s="6">
        <v>28.2</v>
      </c>
      <c r="E232" s="6">
        <v>13.3</v>
      </c>
      <c r="F232" s="6">
        <v>20.8</v>
      </c>
      <c r="G232" s="6">
        <v>96</v>
      </c>
      <c r="H232" s="10">
        <v>28.7</v>
      </c>
      <c r="I232" s="10">
        <v>13.1</v>
      </c>
      <c r="J232" s="10">
        <v>20.9</v>
      </c>
      <c r="K232" s="10">
        <v>81</v>
      </c>
      <c r="L232" s="4">
        <f>+(Tabla1[[#This Row],[Tmax media (°C)]]-Tabla1[[#This Row],[Tmax media (°C) historica]])/Tabla1[[#This Row],[Tmax media (°C) historica]]*100</f>
        <v>1.773049645390071</v>
      </c>
      <c r="M232" s="4">
        <f>+(Tabla1[[#This Row],[Tmin media (°C)]]-Tabla1[[#This Row],[Tmin media (°C) historica]])/Tabla1[[#This Row],[Tmin media (°C) historica]]*100</f>
        <v>-1.5037593984962485</v>
      </c>
      <c r="N232" s="4">
        <f>+(Tabla1[[#This Row],[Tmedia media (°C)]]-Tabla1[[#This Row],[Tmedia media (°C) historica]])/Tabla1[[#This Row],[Tmedia media (°C) historica]]*100</f>
        <v>0.48076923076922046</v>
      </c>
      <c r="O232" s="4">
        <f>+(Tabla1[[#This Row],[Prec acum (mm)]]-Tabla1[[#This Row],[Prec acum (mm) historica]])/Tabla1[[#This Row],[Prec acum (mm) historica]]*100</f>
        <v>-15.625</v>
      </c>
    </row>
    <row r="233" spans="1:15" hidden="1" x14ac:dyDescent="0.25">
      <c r="A233">
        <v>2004</v>
      </c>
      <c r="B233" t="s">
        <v>16</v>
      </c>
      <c r="C233" t="s">
        <v>28</v>
      </c>
      <c r="D233" s="6">
        <v>28.2</v>
      </c>
      <c r="E233" s="6">
        <v>13.3</v>
      </c>
      <c r="F233" s="6">
        <v>20.8</v>
      </c>
      <c r="G233" s="6">
        <v>96</v>
      </c>
      <c r="H233" s="10">
        <v>28.7</v>
      </c>
      <c r="I233" s="10">
        <v>12.2</v>
      </c>
      <c r="J233" s="10">
        <v>20.399999999999999</v>
      </c>
      <c r="K233" s="10">
        <v>36</v>
      </c>
      <c r="L233" s="3">
        <f>+(Tabla1[[#This Row],[Tmax media (°C)]]-Tabla1[[#This Row],[Tmax media (°C) historica]])/Tabla1[[#This Row],[Tmax media (°C) historica]]*100</f>
        <v>1.773049645390071</v>
      </c>
      <c r="M233" s="3">
        <f>+(Tabla1[[#This Row],[Tmin media (°C)]]-Tabla1[[#This Row],[Tmin media (°C) historica]])/Tabla1[[#This Row],[Tmin media (°C) historica]]*100</f>
        <v>-8.2706766917293333</v>
      </c>
      <c r="N233" s="3">
        <f>+(Tabla1[[#This Row],[Tmedia media (°C)]]-Tabla1[[#This Row],[Tmedia media (°C) historica]])/Tabla1[[#This Row],[Tmedia media (°C) historica]]*100</f>
        <v>-1.9230769230769333</v>
      </c>
      <c r="O233" s="3">
        <f>+(Tabla1[[#This Row],[Prec acum (mm)]]-Tabla1[[#This Row],[Prec acum (mm) historica]])/Tabla1[[#This Row],[Prec acum (mm) historica]]*100</f>
        <v>-62.5</v>
      </c>
    </row>
    <row r="234" spans="1:15" hidden="1" x14ac:dyDescent="0.25">
      <c r="A234">
        <v>2015</v>
      </c>
      <c r="B234" t="s">
        <v>16</v>
      </c>
      <c r="C234" t="s">
        <v>28</v>
      </c>
      <c r="D234" s="6">
        <v>28.2</v>
      </c>
      <c r="E234" s="6">
        <v>13.3</v>
      </c>
      <c r="F234" s="6">
        <v>20.8</v>
      </c>
      <c r="G234" s="6">
        <v>96</v>
      </c>
      <c r="H234" s="10">
        <v>28.2</v>
      </c>
      <c r="I234" s="10">
        <v>13.9</v>
      </c>
      <c r="J234" s="10">
        <v>21</v>
      </c>
      <c r="K234" s="10">
        <v>170</v>
      </c>
      <c r="L234" s="4">
        <f>+(Tabla1[[#This Row],[Tmax media (°C)]]-Tabla1[[#This Row],[Tmax media (°C) historica]])/Tabla1[[#This Row],[Tmax media (°C) historica]]*100</f>
        <v>0</v>
      </c>
      <c r="M234" s="4">
        <f>+(Tabla1[[#This Row],[Tmin media (°C)]]-Tabla1[[#This Row],[Tmin media (°C) historica]])/Tabla1[[#This Row],[Tmin media (°C) historica]]*100</f>
        <v>4.5112781954887184</v>
      </c>
      <c r="N234" s="4">
        <f>+(Tabla1[[#This Row],[Tmedia media (°C)]]-Tabla1[[#This Row],[Tmedia media (°C) historica]])/Tabla1[[#This Row],[Tmedia media (°C) historica]]*100</f>
        <v>0.96153846153845812</v>
      </c>
      <c r="O234" s="4">
        <f>+(Tabla1[[#This Row],[Prec acum (mm)]]-Tabla1[[#This Row],[Prec acum (mm) historica]])/Tabla1[[#This Row],[Prec acum (mm) historica]]*100</f>
        <v>77.083333333333343</v>
      </c>
    </row>
    <row r="235" spans="1:15" hidden="1" x14ac:dyDescent="0.25">
      <c r="A235">
        <v>2023</v>
      </c>
      <c r="B235" t="s">
        <v>16</v>
      </c>
      <c r="C235" t="s">
        <v>28</v>
      </c>
      <c r="D235" s="6">
        <v>28.2</v>
      </c>
      <c r="E235" s="6">
        <v>13.3</v>
      </c>
      <c r="F235" s="6">
        <v>20.8</v>
      </c>
      <c r="G235" s="6">
        <v>96</v>
      </c>
      <c r="H235" s="10">
        <v>29.6</v>
      </c>
      <c r="I235" s="10">
        <v>13.3</v>
      </c>
      <c r="J235" s="10">
        <v>21.5</v>
      </c>
      <c r="K235" s="10">
        <v>49</v>
      </c>
      <c r="L235" s="3">
        <f>+(Tabla1[[#This Row],[Tmax media (°C)]]-Tabla1[[#This Row],[Tmax media (°C) historica]])/Tabla1[[#This Row],[Tmax media (°C) historica]]*100</f>
        <v>4.9645390070922062</v>
      </c>
      <c r="M235" s="3">
        <f>+(Tabla1[[#This Row],[Tmin media (°C)]]-Tabla1[[#This Row],[Tmin media (°C) historica]])/Tabla1[[#This Row],[Tmin media (°C) historica]]*100</f>
        <v>0</v>
      </c>
      <c r="N235" s="3">
        <f>+(Tabla1[[#This Row],[Tmedia media (°C)]]-Tabla1[[#This Row],[Tmedia media (°C) historica]])/Tabla1[[#This Row],[Tmedia media (°C) historica]]*100</f>
        <v>3.3653846153846119</v>
      </c>
      <c r="O235" s="3">
        <f>+(Tabla1[[#This Row],[Prec acum (mm)]]-Tabla1[[#This Row],[Prec acum (mm) historica]])/Tabla1[[#This Row],[Prec acum (mm) historica]]*100</f>
        <v>-48.958333333333329</v>
      </c>
    </row>
    <row r="236" spans="1:15" hidden="1" x14ac:dyDescent="0.25">
      <c r="A236">
        <v>1982</v>
      </c>
      <c r="B236" t="s">
        <v>16</v>
      </c>
      <c r="C236" t="s">
        <v>29</v>
      </c>
      <c r="D236" s="6">
        <v>26.8</v>
      </c>
      <c r="E236" s="6">
        <v>12.9</v>
      </c>
      <c r="F236" s="6">
        <v>19.899999999999999</v>
      </c>
      <c r="G236" s="6">
        <v>76</v>
      </c>
      <c r="H236" s="10">
        <v>27.1</v>
      </c>
      <c r="I236" s="10">
        <v>11.9</v>
      </c>
      <c r="J236" s="10">
        <v>19.5</v>
      </c>
      <c r="K236" s="10">
        <v>121</v>
      </c>
      <c r="L236" s="3">
        <f>+(Tabla1[[#This Row],[Tmax media (°C)]]-Tabla1[[#This Row],[Tmax media (°C) historica]])/Tabla1[[#This Row],[Tmax media (°C) historica]]*100</f>
        <v>1.1194029850746294</v>
      </c>
      <c r="M236" s="3">
        <f>+(Tabla1[[#This Row],[Tmin media (°C)]]-Tabla1[[#This Row],[Tmin media (°C) historica]])/Tabla1[[#This Row],[Tmin media (°C) historica]]*100</f>
        <v>-7.7519379844961236</v>
      </c>
      <c r="N236" s="3">
        <f>+(Tabla1[[#This Row],[Tmedia media (°C)]]-Tabla1[[#This Row],[Tmedia media (°C) historica]])/Tabla1[[#This Row],[Tmedia media (°C) historica]]*100</f>
        <v>-2.0100502512562746</v>
      </c>
      <c r="O236" s="3">
        <f>+(Tabla1[[#This Row],[Prec acum (mm)]]-Tabla1[[#This Row],[Prec acum (mm) historica]])/Tabla1[[#This Row],[Prec acum (mm) historica]]*100</f>
        <v>59.210526315789465</v>
      </c>
    </row>
    <row r="237" spans="1:15" hidden="1" x14ac:dyDescent="0.25">
      <c r="A237">
        <v>1987</v>
      </c>
      <c r="B237" t="s">
        <v>16</v>
      </c>
      <c r="C237" t="s">
        <v>29</v>
      </c>
      <c r="D237" s="6">
        <v>26.8</v>
      </c>
      <c r="E237" s="6">
        <v>12.9</v>
      </c>
      <c r="F237" s="6">
        <v>19.899999999999999</v>
      </c>
      <c r="G237" s="6">
        <v>76</v>
      </c>
      <c r="H237" s="10">
        <v>25.3</v>
      </c>
      <c r="I237" s="10">
        <v>13.7</v>
      </c>
      <c r="J237" s="10">
        <v>19.5</v>
      </c>
      <c r="K237" s="10">
        <v>69</v>
      </c>
      <c r="L237" s="4">
        <f>+(Tabla1[[#This Row],[Tmax media (°C)]]-Tabla1[[#This Row],[Tmax media (°C) historica]])/Tabla1[[#This Row],[Tmax media (°C) historica]]*100</f>
        <v>-5.5970149253731343</v>
      </c>
      <c r="M237" s="4">
        <f>+(Tabla1[[#This Row],[Tmin media (°C)]]-Tabla1[[#This Row],[Tmin media (°C) historica]])/Tabla1[[#This Row],[Tmin media (°C) historica]]*100</f>
        <v>6.2015503875968907</v>
      </c>
      <c r="N237" s="4">
        <f>+(Tabla1[[#This Row],[Tmedia media (°C)]]-Tabla1[[#This Row],[Tmedia media (°C) historica]])/Tabla1[[#This Row],[Tmedia media (°C) historica]]*100</f>
        <v>-2.0100502512562746</v>
      </c>
      <c r="O237" s="4">
        <f>+(Tabla1[[#This Row],[Prec acum (mm)]]-Tabla1[[#This Row],[Prec acum (mm) historica]])/Tabla1[[#This Row],[Prec acum (mm) historica]]*100</f>
        <v>-9.2105263157894726</v>
      </c>
    </row>
    <row r="238" spans="1:15" hidden="1" x14ac:dyDescent="0.25">
      <c r="A238">
        <v>1991</v>
      </c>
      <c r="B238" t="s">
        <v>16</v>
      </c>
      <c r="C238" t="s">
        <v>29</v>
      </c>
      <c r="D238" s="6">
        <v>27</v>
      </c>
      <c r="E238" s="6">
        <v>12.7</v>
      </c>
      <c r="F238" s="6">
        <v>19.8</v>
      </c>
      <c r="G238" s="6">
        <v>98</v>
      </c>
      <c r="H238" s="10">
        <v>26.8</v>
      </c>
      <c r="I238" s="10">
        <v>13.8</v>
      </c>
      <c r="J238" s="10">
        <v>20.3</v>
      </c>
      <c r="K238" s="10">
        <v>152</v>
      </c>
      <c r="L238" s="3">
        <f>+(Tabla1[[#This Row],[Tmax media (°C)]]-Tabla1[[#This Row],[Tmax media (°C) historica]])/Tabla1[[#This Row],[Tmax media (°C) historica]]*100</f>
        <v>-0.74074074074073804</v>
      </c>
      <c r="M238" s="3">
        <f>+(Tabla1[[#This Row],[Tmin media (°C)]]-Tabla1[[#This Row],[Tmin media (°C) historica]])/Tabla1[[#This Row],[Tmin media (°C) historica]]*100</f>
        <v>8.6614173228346569</v>
      </c>
      <c r="N238" s="3">
        <f>+(Tabla1[[#This Row],[Tmedia media (°C)]]-Tabla1[[#This Row],[Tmedia media (°C) historica]])/Tabla1[[#This Row],[Tmedia media (°C) historica]]*100</f>
        <v>2.5252525252525251</v>
      </c>
      <c r="O238" s="3">
        <f>+(Tabla1[[#This Row],[Prec acum (mm)]]-Tabla1[[#This Row],[Prec acum (mm) historica]])/Tabla1[[#This Row],[Prec acum (mm) historica]]*100</f>
        <v>55.102040816326522</v>
      </c>
    </row>
    <row r="239" spans="1:15" hidden="1" x14ac:dyDescent="0.25">
      <c r="A239">
        <v>1994</v>
      </c>
      <c r="B239" t="s">
        <v>16</v>
      </c>
      <c r="C239" t="s">
        <v>29</v>
      </c>
      <c r="D239" s="6">
        <v>27</v>
      </c>
      <c r="E239" s="6">
        <v>12.7</v>
      </c>
      <c r="F239" s="6">
        <v>19.8</v>
      </c>
      <c r="G239" s="6">
        <v>98</v>
      </c>
      <c r="H239" s="10">
        <v>25.4</v>
      </c>
      <c r="I239" s="10">
        <v>11.9</v>
      </c>
      <c r="J239" s="10">
        <v>18.600000000000001</v>
      </c>
      <c r="K239" s="10">
        <v>76</v>
      </c>
      <c r="L239" s="4">
        <f>+(Tabla1[[#This Row],[Tmax media (°C)]]-Tabla1[[#This Row],[Tmax media (°C) historica]])/Tabla1[[#This Row],[Tmax media (°C) historica]]*100</f>
        <v>-5.9259259259259309</v>
      </c>
      <c r="M239" s="4">
        <f>+(Tabla1[[#This Row],[Tmin media (°C)]]-Tabla1[[#This Row],[Tmin media (°C) historica]])/Tabla1[[#This Row],[Tmin media (°C) historica]]*100</f>
        <v>-6.2992125984251883</v>
      </c>
      <c r="N239" s="4">
        <f>+(Tabla1[[#This Row],[Tmedia media (°C)]]-Tabla1[[#This Row],[Tmedia media (°C) historica]])/Tabla1[[#This Row],[Tmedia media (°C) historica]]*100</f>
        <v>-6.060606060606057</v>
      </c>
      <c r="O239" s="4">
        <f>+(Tabla1[[#This Row],[Prec acum (mm)]]-Tabla1[[#This Row],[Prec acum (mm) historica]])/Tabla1[[#This Row],[Prec acum (mm) historica]]*100</f>
        <v>-22.448979591836736</v>
      </c>
    </row>
    <row r="240" spans="1:15" hidden="1" x14ac:dyDescent="0.25">
      <c r="A240">
        <v>1997</v>
      </c>
      <c r="B240" t="s">
        <v>16</v>
      </c>
      <c r="C240" t="s">
        <v>29</v>
      </c>
      <c r="D240" s="6">
        <v>27</v>
      </c>
      <c r="E240" s="6">
        <v>12.7</v>
      </c>
      <c r="F240" s="6">
        <v>19.8</v>
      </c>
      <c r="G240" s="6">
        <v>98</v>
      </c>
      <c r="H240" s="10">
        <v>23.6</v>
      </c>
      <c r="I240" s="10">
        <v>11.8</v>
      </c>
      <c r="J240" s="10">
        <v>17.7</v>
      </c>
      <c r="K240" s="10">
        <v>44</v>
      </c>
      <c r="L240" s="3">
        <f>+(Tabla1[[#This Row],[Tmax media (°C)]]-Tabla1[[#This Row],[Tmax media (°C) historica]])/Tabla1[[#This Row],[Tmax media (°C) historica]]*100</f>
        <v>-12.592592592592588</v>
      </c>
      <c r="M240" s="3">
        <f>+(Tabla1[[#This Row],[Tmin media (°C)]]-Tabla1[[#This Row],[Tmin media (°C) historica]])/Tabla1[[#This Row],[Tmin media (°C) historica]]*100</f>
        <v>-7.0866141732283356</v>
      </c>
      <c r="N240" s="3">
        <f>+(Tabla1[[#This Row],[Tmedia media (°C)]]-Tabla1[[#This Row],[Tmedia media (°C) historica]])/Tabla1[[#This Row],[Tmedia media (°C) historica]]*100</f>
        <v>-10.606060606060613</v>
      </c>
      <c r="O240" s="3">
        <f>+(Tabla1[[#This Row],[Prec acum (mm)]]-Tabla1[[#This Row],[Prec acum (mm) historica]])/Tabla1[[#This Row],[Prec acum (mm) historica]]*100</f>
        <v>-55.102040816326522</v>
      </c>
    </row>
    <row r="241" spans="1:15" hidden="1" x14ac:dyDescent="0.25">
      <c r="A241">
        <v>2002</v>
      </c>
      <c r="B241" t="s">
        <v>16</v>
      </c>
      <c r="C241" t="s">
        <v>29</v>
      </c>
      <c r="D241" s="6">
        <v>27</v>
      </c>
      <c r="E241" s="6">
        <v>12.7</v>
      </c>
      <c r="F241" s="6">
        <v>19.8</v>
      </c>
      <c r="G241" s="6">
        <v>98</v>
      </c>
      <c r="H241" s="10">
        <v>26.5</v>
      </c>
      <c r="I241" s="10">
        <v>12.5</v>
      </c>
      <c r="J241" s="10">
        <v>19.5</v>
      </c>
      <c r="K241" s="10">
        <v>115</v>
      </c>
      <c r="L241" s="4">
        <f>+(Tabla1[[#This Row],[Tmax media (°C)]]-Tabla1[[#This Row],[Tmax media (°C) historica]])/Tabla1[[#This Row],[Tmax media (°C) historica]]*100</f>
        <v>-1.8518518518518516</v>
      </c>
      <c r="M241" s="4">
        <f>+(Tabla1[[#This Row],[Tmin media (°C)]]-Tabla1[[#This Row],[Tmin media (°C) historica]])/Tabla1[[#This Row],[Tmin media (°C) historica]]*100</f>
        <v>-1.5748031496062938</v>
      </c>
      <c r="N241" s="4">
        <f>+(Tabla1[[#This Row],[Tmedia media (°C)]]-Tabla1[[#This Row],[Tmedia media (°C) historica]])/Tabla1[[#This Row],[Tmedia media (°C) historica]]*100</f>
        <v>-1.5151515151515187</v>
      </c>
      <c r="O241" s="4">
        <f>+(Tabla1[[#This Row],[Prec acum (mm)]]-Tabla1[[#This Row],[Prec acum (mm) historica]])/Tabla1[[#This Row],[Prec acum (mm) historica]]*100</f>
        <v>17.346938775510203</v>
      </c>
    </row>
    <row r="242" spans="1:15" hidden="1" x14ac:dyDescent="0.25">
      <c r="A242">
        <v>2004</v>
      </c>
      <c r="B242" t="s">
        <v>16</v>
      </c>
      <c r="C242" t="s">
        <v>29</v>
      </c>
      <c r="D242" s="6">
        <v>27</v>
      </c>
      <c r="E242" s="6">
        <v>12.7</v>
      </c>
      <c r="F242" s="6">
        <v>19.8</v>
      </c>
      <c r="G242" s="6">
        <v>98</v>
      </c>
      <c r="H242" s="10">
        <v>27</v>
      </c>
      <c r="I242" s="10">
        <v>14.2</v>
      </c>
      <c r="J242" s="10">
        <v>20.6</v>
      </c>
      <c r="K242" s="10">
        <v>148</v>
      </c>
      <c r="L242" s="3">
        <f>+(Tabla1[[#This Row],[Tmax media (°C)]]-Tabla1[[#This Row],[Tmax media (°C) historica]])/Tabla1[[#This Row],[Tmax media (°C) historica]]*100</f>
        <v>0</v>
      </c>
      <c r="M242" s="3">
        <f>+(Tabla1[[#This Row],[Tmin media (°C)]]-Tabla1[[#This Row],[Tmin media (°C) historica]])/Tabla1[[#This Row],[Tmin media (°C) historica]]*100</f>
        <v>11.811023622047244</v>
      </c>
      <c r="N242" s="3">
        <f>+(Tabla1[[#This Row],[Tmedia media (°C)]]-Tabla1[[#This Row],[Tmedia media (°C) historica]])/Tabla1[[#This Row],[Tmedia media (°C) historica]]*100</f>
        <v>4.0404040404040433</v>
      </c>
      <c r="O242" s="3">
        <f>+(Tabla1[[#This Row],[Prec acum (mm)]]-Tabla1[[#This Row],[Prec acum (mm) historica]])/Tabla1[[#This Row],[Prec acum (mm) historica]]*100</f>
        <v>51.020408163265309</v>
      </c>
    </row>
    <row r="243" spans="1:15" hidden="1" x14ac:dyDescent="0.25">
      <c r="A243">
        <v>2015</v>
      </c>
      <c r="B243" t="s">
        <v>16</v>
      </c>
      <c r="C243" t="s">
        <v>29</v>
      </c>
      <c r="D243" s="6">
        <v>27</v>
      </c>
      <c r="E243" s="6">
        <v>12.7</v>
      </c>
      <c r="F243" s="6">
        <v>19.8</v>
      </c>
      <c r="G243" s="6">
        <v>98</v>
      </c>
      <c r="H243" s="10">
        <v>27.5</v>
      </c>
      <c r="I243" s="10">
        <v>14.2</v>
      </c>
      <c r="J243" s="10">
        <v>20.8</v>
      </c>
      <c r="K243" s="10">
        <v>220</v>
      </c>
      <c r="L243" s="4">
        <f>+(Tabla1[[#This Row],[Tmax media (°C)]]-Tabla1[[#This Row],[Tmax media (°C) historica]])/Tabla1[[#This Row],[Tmax media (°C) historica]]*100</f>
        <v>1.8518518518518516</v>
      </c>
      <c r="M243" s="4">
        <f>+(Tabla1[[#This Row],[Tmin media (°C)]]-Tabla1[[#This Row],[Tmin media (°C) historica]])/Tabla1[[#This Row],[Tmin media (°C) historica]]*100</f>
        <v>11.811023622047244</v>
      </c>
      <c r="N243" s="4">
        <f>+(Tabla1[[#This Row],[Tmedia media (°C)]]-Tabla1[[#This Row],[Tmedia media (°C) historica]])/Tabla1[[#This Row],[Tmedia media (°C) historica]]*100</f>
        <v>5.0505050505050502</v>
      </c>
      <c r="O243" s="4">
        <f>+(Tabla1[[#This Row],[Prec acum (mm)]]-Tabla1[[#This Row],[Prec acum (mm) historica]])/Tabla1[[#This Row],[Prec acum (mm) historica]]*100</f>
        <v>124.48979591836735</v>
      </c>
    </row>
    <row r="244" spans="1:15" hidden="1" x14ac:dyDescent="0.25">
      <c r="A244">
        <v>2023</v>
      </c>
      <c r="B244" t="s">
        <v>16</v>
      </c>
      <c r="C244" t="s">
        <v>29</v>
      </c>
      <c r="D244" s="6">
        <v>27</v>
      </c>
      <c r="E244" s="6">
        <v>12.7</v>
      </c>
      <c r="F244" s="6">
        <v>19.8</v>
      </c>
      <c r="G244" s="6">
        <v>98</v>
      </c>
      <c r="H244" s="10">
        <v>27.9</v>
      </c>
      <c r="I244" s="10">
        <v>14.7</v>
      </c>
      <c r="J244" s="10">
        <v>21.3</v>
      </c>
      <c r="K244" s="10">
        <v>138</v>
      </c>
      <c r="L244" s="3">
        <f>+(Tabla1[[#This Row],[Tmax media (°C)]]-Tabla1[[#This Row],[Tmax media (°C) historica]])/Tabla1[[#This Row],[Tmax media (°C) historica]]*100</f>
        <v>3.3333333333333277</v>
      </c>
      <c r="M244" s="3">
        <f>+(Tabla1[[#This Row],[Tmin media (°C)]]-Tabla1[[#This Row],[Tmin media (°C) historica]])/Tabla1[[#This Row],[Tmin media (°C) historica]]*100</f>
        <v>15.748031496062993</v>
      </c>
      <c r="N244" s="3">
        <f>+(Tabla1[[#This Row],[Tmedia media (°C)]]-Tabla1[[#This Row],[Tmedia media (°C) historica]])/Tabla1[[#This Row],[Tmedia media (°C) historica]]*100</f>
        <v>7.5757575757575761</v>
      </c>
      <c r="O244" s="3">
        <f>+(Tabla1[[#This Row],[Prec acum (mm)]]-Tabla1[[#This Row],[Prec acum (mm) historica]])/Tabla1[[#This Row],[Prec acum (mm) historica]]*100</f>
        <v>40.816326530612244</v>
      </c>
    </row>
    <row r="245" spans="1:15" hidden="1" x14ac:dyDescent="0.25">
      <c r="A245">
        <v>1987</v>
      </c>
      <c r="B245" t="s">
        <v>18</v>
      </c>
      <c r="C245" t="s">
        <v>21</v>
      </c>
      <c r="D245" s="6">
        <v>13.7</v>
      </c>
      <c r="E245" s="6">
        <v>3.3</v>
      </c>
      <c r="F245" s="6">
        <v>8.4</v>
      </c>
      <c r="G245" s="6">
        <v>18</v>
      </c>
      <c r="H245" s="10" t="s">
        <v>17</v>
      </c>
      <c r="I245" s="10" t="s">
        <v>17</v>
      </c>
      <c r="J245" s="10" t="s">
        <v>17</v>
      </c>
      <c r="K245" s="10" t="s">
        <v>17</v>
      </c>
      <c r="L245" s="3" t="e">
        <f>+(Tabla1[[#This Row],[Tmax media (°C)]]-Tabla1[[#This Row],[Tmax media (°C) historica]])/Tabla1[[#This Row],[Tmax media (°C) historica]]*100</f>
        <v>#VALUE!</v>
      </c>
      <c r="M245" s="3" t="e">
        <f>+(Tabla1[[#This Row],[Tmin media (°C)]]-Tabla1[[#This Row],[Tmin media (°C) historica]])/Tabla1[[#This Row],[Tmin media (°C) historica]]*100</f>
        <v>#VALUE!</v>
      </c>
      <c r="N245" s="3" t="e">
        <f>+(Tabla1[[#This Row],[Tmedia media (°C)]]-Tabla1[[#This Row],[Tmedia media (°C) historica]])/Tabla1[[#This Row],[Tmedia media (°C) historica]]*100</f>
        <v>#VALUE!</v>
      </c>
      <c r="O245" s="3" t="e">
        <f>+(Tabla1[[#This Row],[Prec acum (mm)]]-Tabla1[[#This Row],[Prec acum (mm) historica]])/Tabla1[[#This Row],[Prec acum (mm) historica]]*100</f>
        <v>#VALUE!</v>
      </c>
    </row>
    <row r="246" spans="1:15" hidden="1" x14ac:dyDescent="0.25">
      <c r="A246">
        <v>1991</v>
      </c>
      <c r="B246" t="s">
        <v>18</v>
      </c>
      <c r="C246" t="s">
        <v>21</v>
      </c>
      <c r="D246" s="6">
        <v>13.7</v>
      </c>
      <c r="E246" s="6">
        <v>2.6</v>
      </c>
      <c r="F246" s="6">
        <v>8.4</v>
      </c>
      <c r="G246" s="6">
        <v>29</v>
      </c>
      <c r="H246" s="10">
        <v>12.4</v>
      </c>
      <c r="I246" s="10">
        <v>1.9</v>
      </c>
      <c r="J246" s="10">
        <v>7.1</v>
      </c>
      <c r="K246" s="10">
        <v>159</v>
      </c>
      <c r="L246" s="4">
        <f>+(Tabla1[[#This Row],[Tmax media (°C)]]-Tabla1[[#This Row],[Tmax media (°C) historica]])/Tabla1[[#This Row],[Tmax media (°C) historica]]*100</f>
        <v>-9.4890510948905042</v>
      </c>
      <c r="M246" s="4">
        <f>+(Tabla1[[#This Row],[Tmin media (°C)]]-Tabla1[[#This Row],[Tmin media (°C) historica]])/Tabla1[[#This Row],[Tmin media (°C) historica]]*100</f>
        <v>-26.923076923076927</v>
      </c>
      <c r="N246" s="4">
        <f>+(Tabla1[[#This Row],[Tmedia media (°C)]]-Tabla1[[#This Row],[Tmedia media (°C) historica]])/Tabla1[[#This Row],[Tmedia media (°C) historica]]*100</f>
        <v>-15.476190476190485</v>
      </c>
      <c r="O246" s="4">
        <f>+(Tabla1[[#This Row],[Prec acum (mm)]]-Tabla1[[#This Row],[Prec acum (mm) historica]])/Tabla1[[#This Row],[Prec acum (mm) historica]]*100</f>
        <v>448.27586206896547</v>
      </c>
    </row>
    <row r="247" spans="1:15" hidden="1" x14ac:dyDescent="0.25">
      <c r="A247">
        <v>1994</v>
      </c>
      <c r="B247" t="s">
        <v>18</v>
      </c>
      <c r="C247" t="s">
        <v>21</v>
      </c>
      <c r="D247" s="6">
        <v>13.7</v>
      </c>
      <c r="E247" s="6">
        <v>2.6</v>
      </c>
      <c r="F247" s="6">
        <v>8.4</v>
      </c>
      <c r="G247" s="6">
        <v>29</v>
      </c>
      <c r="H247" s="10">
        <v>14.1</v>
      </c>
      <c r="I247" s="10">
        <v>3.4</v>
      </c>
      <c r="J247" s="10">
        <v>8.8000000000000007</v>
      </c>
      <c r="K247" s="10">
        <v>18</v>
      </c>
      <c r="L247" s="3">
        <f>+(Tabla1[[#This Row],[Tmax media (°C)]]-Tabla1[[#This Row],[Tmax media (°C) historica]])/Tabla1[[#This Row],[Tmax media (°C) historica]]*100</f>
        <v>2.9197080291970829</v>
      </c>
      <c r="M247" s="3">
        <f>+(Tabla1[[#This Row],[Tmin media (°C)]]-Tabla1[[#This Row],[Tmin media (°C) historica]])/Tabla1[[#This Row],[Tmin media (°C) historica]]*100</f>
        <v>30.769230769230759</v>
      </c>
      <c r="N247" s="3">
        <f>+(Tabla1[[#This Row],[Tmedia media (°C)]]-Tabla1[[#This Row],[Tmedia media (°C) historica]])/Tabla1[[#This Row],[Tmedia media (°C) historica]]*100</f>
        <v>4.7619047619047654</v>
      </c>
      <c r="O247" s="3">
        <f>+(Tabla1[[#This Row],[Prec acum (mm)]]-Tabla1[[#This Row],[Prec acum (mm) historica]])/Tabla1[[#This Row],[Prec acum (mm) historica]]*100</f>
        <v>-37.931034482758619</v>
      </c>
    </row>
    <row r="248" spans="1:15" hidden="1" x14ac:dyDescent="0.25">
      <c r="A248">
        <v>1997</v>
      </c>
      <c r="B248" t="s">
        <v>18</v>
      </c>
      <c r="C248" t="s">
        <v>21</v>
      </c>
      <c r="D248" s="6">
        <v>13.7</v>
      </c>
      <c r="E248" s="6">
        <v>2.6</v>
      </c>
      <c r="F248" s="6">
        <v>8.4</v>
      </c>
      <c r="G248" s="6">
        <v>29</v>
      </c>
      <c r="H248" s="10">
        <v>12.7</v>
      </c>
      <c r="I248" s="10">
        <v>4.4000000000000004</v>
      </c>
      <c r="J248" s="10">
        <v>8.6</v>
      </c>
      <c r="K248" s="10">
        <v>84</v>
      </c>
      <c r="L248" s="4">
        <f>+(Tabla1[[#This Row],[Tmax media (°C)]]-Tabla1[[#This Row],[Tmax media (°C) historica]])/Tabla1[[#This Row],[Tmax media (°C) historica]]*100</f>
        <v>-7.2992700729927016</v>
      </c>
      <c r="M248" s="4">
        <f>+(Tabla1[[#This Row],[Tmin media (°C)]]-Tabla1[[#This Row],[Tmin media (°C) historica]])/Tabla1[[#This Row],[Tmin media (°C) historica]]*100</f>
        <v>69.230769230769241</v>
      </c>
      <c r="N248" s="4">
        <f>+(Tabla1[[#This Row],[Tmedia media (°C)]]-Tabla1[[#This Row],[Tmedia media (°C) historica]])/Tabla1[[#This Row],[Tmedia media (°C) historica]]*100</f>
        <v>2.3809523809523725</v>
      </c>
      <c r="O248" s="4">
        <f>+(Tabla1[[#This Row],[Prec acum (mm)]]-Tabla1[[#This Row],[Prec acum (mm) historica]])/Tabla1[[#This Row],[Prec acum (mm) historica]]*100</f>
        <v>189.65517241379311</v>
      </c>
    </row>
    <row r="249" spans="1:15" hidden="1" x14ac:dyDescent="0.25">
      <c r="A249">
        <v>2002</v>
      </c>
      <c r="B249" t="s">
        <v>18</v>
      </c>
      <c r="C249" t="s">
        <v>21</v>
      </c>
      <c r="D249" s="6">
        <v>13.7</v>
      </c>
      <c r="E249" s="6">
        <v>2.6</v>
      </c>
      <c r="F249" s="6">
        <v>8.4</v>
      </c>
      <c r="G249" s="6">
        <v>29</v>
      </c>
      <c r="H249" s="10">
        <v>12.2</v>
      </c>
      <c r="I249" s="10">
        <v>0.3</v>
      </c>
      <c r="J249" s="10">
        <v>6.2</v>
      </c>
      <c r="K249" s="10">
        <v>4</v>
      </c>
      <c r="L249" s="3">
        <f>+(Tabla1[[#This Row],[Tmax media (°C)]]-Tabla1[[#This Row],[Tmax media (°C) historica]])/Tabla1[[#This Row],[Tmax media (°C) historica]]*100</f>
        <v>-10.948905109489052</v>
      </c>
      <c r="M249" s="3">
        <f>+(Tabla1[[#This Row],[Tmin media (°C)]]-Tabla1[[#This Row],[Tmin media (°C) historica]])/Tabla1[[#This Row],[Tmin media (°C) historica]]*100</f>
        <v>-88.461538461538467</v>
      </c>
      <c r="N249" s="3">
        <f>+(Tabla1[[#This Row],[Tmedia media (°C)]]-Tabla1[[#This Row],[Tmedia media (°C) historica]])/Tabla1[[#This Row],[Tmedia media (°C) historica]]*100</f>
        <v>-26.190476190476193</v>
      </c>
      <c r="O249" s="3">
        <f>+(Tabla1[[#This Row],[Prec acum (mm)]]-Tabla1[[#This Row],[Prec acum (mm) historica]])/Tabla1[[#This Row],[Prec acum (mm) historica]]*100</f>
        <v>-86.206896551724128</v>
      </c>
    </row>
    <row r="250" spans="1:15" hidden="1" x14ac:dyDescent="0.25">
      <c r="A250">
        <v>2004</v>
      </c>
      <c r="B250" t="s">
        <v>18</v>
      </c>
      <c r="C250" t="s">
        <v>21</v>
      </c>
      <c r="D250" s="6">
        <v>13.7</v>
      </c>
      <c r="E250" s="6">
        <v>2.6</v>
      </c>
      <c r="F250" s="6">
        <v>8.4</v>
      </c>
      <c r="G250" s="6">
        <v>29</v>
      </c>
      <c r="H250" s="10">
        <v>14.8</v>
      </c>
      <c r="I250" s="10">
        <v>3.5</v>
      </c>
      <c r="J250" s="10">
        <v>9.1999999999999993</v>
      </c>
      <c r="K250" s="10">
        <v>28</v>
      </c>
      <c r="L250" s="4">
        <f>+(Tabla1[[#This Row],[Tmax media (°C)]]-Tabla1[[#This Row],[Tmax media (°C) historica]])/Tabla1[[#This Row],[Tmax media (°C) historica]]*100</f>
        <v>8.029197080291981</v>
      </c>
      <c r="M250" s="4">
        <f>+(Tabla1[[#This Row],[Tmin media (°C)]]-Tabla1[[#This Row],[Tmin media (°C) historica]])/Tabla1[[#This Row],[Tmin media (°C) historica]]*100</f>
        <v>34.615384615384606</v>
      </c>
      <c r="N250" s="4">
        <f>+(Tabla1[[#This Row],[Tmedia media (°C)]]-Tabla1[[#This Row],[Tmedia media (°C) historica]])/Tabla1[[#This Row],[Tmedia media (°C) historica]]*100</f>
        <v>9.5238095238095113</v>
      </c>
      <c r="O250" s="4">
        <f>+(Tabla1[[#This Row],[Prec acum (mm)]]-Tabla1[[#This Row],[Prec acum (mm) historica]])/Tabla1[[#This Row],[Prec acum (mm) historica]]*100</f>
        <v>-3.4482758620689653</v>
      </c>
    </row>
    <row r="251" spans="1:15" hidden="1" x14ac:dyDescent="0.25">
      <c r="A251">
        <v>2015</v>
      </c>
      <c r="B251" t="s">
        <v>18</v>
      </c>
      <c r="C251" t="s">
        <v>21</v>
      </c>
      <c r="D251" s="6">
        <v>13.7</v>
      </c>
      <c r="E251" s="6">
        <v>2.6</v>
      </c>
      <c r="F251" s="6">
        <v>8.4</v>
      </c>
      <c r="G251" s="6">
        <v>29</v>
      </c>
      <c r="H251" s="10">
        <v>14.6</v>
      </c>
      <c r="I251" s="10">
        <v>2.7</v>
      </c>
      <c r="J251" s="10">
        <v>8.6999999999999993</v>
      </c>
      <c r="K251" s="10">
        <v>35</v>
      </c>
      <c r="L251" s="3">
        <f>+(Tabla1[[#This Row],[Tmax media (°C)]]-Tabla1[[#This Row],[Tmax media (°C) historica]])/Tabla1[[#This Row],[Tmax media (°C) historica]]*100</f>
        <v>6.5693430656934337</v>
      </c>
      <c r="M251" s="3">
        <f>+(Tabla1[[#This Row],[Tmin media (°C)]]-Tabla1[[#This Row],[Tmin media (°C) historica]])/Tabla1[[#This Row],[Tmin media (°C) historica]]*100</f>
        <v>3.8461538461538494</v>
      </c>
      <c r="N251" s="3">
        <f>+(Tabla1[[#This Row],[Tmedia media (°C)]]-Tabla1[[#This Row],[Tmedia media (°C) historica]])/Tabla1[[#This Row],[Tmedia media (°C) historica]]*100</f>
        <v>3.5714285714285587</v>
      </c>
      <c r="O251" s="3">
        <f>+(Tabla1[[#This Row],[Prec acum (mm)]]-Tabla1[[#This Row],[Prec acum (mm) historica]])/Tabla1[[#This Row],[Prec acum (mm) historica]]*100</f>
        <v>20.689655172413794</v>
      </c>
    </row>
    <row r="252" spans="1:15" hidden="1" x14ac:dyDescent="0.25">
      <c r="A252">
        <v>2023</v>
      </c>
      <c r="B252" t="s">
        <v>18</v>
      </c>
      <c r="C252" t="s">
        <v>21</v>
      </c>
      <c r="D252" s="6">
        <v>13.7</v>
      </c>
      <c r="E252" s="6">
        <v>2.6</v>
      </c>
      <c r="F252" s="6">
        <v>8.4</v>
      </c>
      <c r="G252" s="6">
        <v>29</v>
      </c>
      <c r="H252" s="10">
        <v>14.2</v>
      </c>
      <c r="I252" s="10">
        <v>2.5</v>
      </c>
      <c r="J252" s="10">
        <v>8.3000000000000007</v>
      </c>
      <c r="K252" s="10">
        <v>32</v>
      </c>
      <c r="L252" s="4">
        <f>+(Tabla1[[#This Row],[Tmax media (°C)]]-Tabla1[[#This Row],[Tmax media (°C) historica]])/Tabla1[[#This Row],[Tmax media (°C) historica]]*100</f>
        <v>3.6496350364963508</v>
      </c>
      <c r="M252" s="4">
        <f>+(Tabla1[[#This Row],[Tmin media (°C)]]-Tabla1[[#This Row],[Tmin media (°C) historica]])/Tabla1[[#This Row],[Tmin media (°C) historica]]*100</f>
        <v>-3.8461538461538494</v>
      </c>
      <c r="N252" s="4">
        <f>+(Tabla1[[#This Row],[Tmedia media (°C)]]-Tabla1[[#This Row],[Tmedia media (°C) historica]])/Tabla1[[#This Row],[Tmedia media (°C) historica]]*100</f>
        <v>-1.1904761904761862</v>
      </c>
      <c r="O252" s="4">
        <f>+(Tabla1[[#This Row],[Prec acum (mm)]]-Tabla1[[#This Row],[Prec acum (mm) historica]])/Tabla1[[#This Row],[Prec acum (mm) historica]]*100</f>
        <v>10.344827586206897</v>
      </c>
    </row>
    <row r="253" spans="1:15" hidden="1" x14ac:dyDescent="0.25">
      <c r="A253">
        <v>1987</v>
      </c>
      <c r="B253" t="s">
        <v>18</v>
      </c>
      <c r="C253" t="s">
        <v>22</v>
      </c>
      <c r="D253" s="6">
        <v>12.5</v>
      </c>
      <c r="E253" s="6">
        <v>1.1000000000000001</v>
      </c>
      <c r="F253" s="6">
        <v>6.8</v>
      </c>
      <c r="G253" s="6">
        <v>26</v>
      </c>
      <c r="H253" s="10" t="s">
        <v>17</v>
      </c>
      <c r="I253" s="10" t="s">
        <v>17</v>
      </c>
      <c r="J253" s="10" t="s">
        <v>17</v>
      </c>
      <c r="K253" s="10" t="s">
        <v>17</v>
      </c>
      <c r="L253" s="3" t="e">
        <f>+(Tabla1[[#This Row],[Tmax media (°C)]]-Tabla1[[#This Row],[Tmax media (°C) historica]])/Tabla1[[#This Row],[Tmax media (°C) historica]]*100</f>
        <v>#VALUE!</v>
      </c>
      <c r="M253" s="3" t="e">
        <f>+(Tabla1[[#This Row],[Tmin media (°C)]]-Tabla1[[#This Row],[Tmin media (°C) historica]])/Tabla1[[#This Row],[Tmin media (°C) historica]]*100</f>
        <v>#VALUE!</v>
      </c>
      <c r="N253" s="3" t="e">
        <f>+(Tabla1[[#This Row],[Tmedia media (°C)]]-Tabla1[[#This Row],[Tmedia media (°C) historica]])/Tabla1[[#This Row],[Tmedia media (°C) historica]]*100</f>
        <v>#VALUE!</v>
      </c>
      <c r="O253" s="3" t="e">
        <f>+(Tabla1[[#This Row],[Prec acum (mm)]]-Tabla1[[#This Row],[Prec acum (mm) historica]])/Tabla1[[#This Row],[Prec acum (mm) historica]]*100</f>
        <v>#VALUE!</v>
      </c>
    </row>
    <row r="254" spans="1:15" hidden="1" x14ac:dyDescent="0.25">
      <c r="A254">
        <v>1991</v>
      </c>
      <c r="B254" t="s">
        <v>18</v>
      </c>
      <c r="C254" t="s">
        <v>22</v>
      </c>
      <c r="D254" s="6">
        <v>12.9</v>
      </c>
      <c r="E254" s="6">
        <v>1.5</v>
      </c>
      <c r="F254" s="6">
        <v>7.1</v>
      </c>
      <c r="G254" s="6">
        <v>32</v>
      </c>
      <c r="H254" s="10">
        <v>12.5</v>
      </c>
      <c r="I254" s="10">
        <v>1</v>
      </c>
      <c r="J254" s="10">
        <v>6.8</v>
      </c>
      <c r="K254" s="10">
        <v>11</v>
      </c>
      <c r="L254" s="4">
        <f>+(Tabla1[[#This Row],[Tmax media (°C)]]-Tabla1[[#This Row],[Tmax media (°C) historica]])/Tabla1[[#This Row],[Tmax media (°C) historica]]*100</f>
        <v>-3.1007751937984525</v>
      </c>
      <c r="M254" s="4">
        <f>+(Tabla1[[#This Row],[Tmin media (°C)]]-Tabla1[[#This Row],[Tmin media (°C) historica]])/Tabla1[[#This Row],[Tmin media (°C) historica]]*100</f>
        <v>-33.333333333333329</v>
      </c>
      <c r="N254" s="4">
        <f>+(Tabla1[[#This Row],[Tmedia media (°C)]]-Tabla1[[#This Row],[Tmedia media (°C) historica]])/Tabla1[[#This Row],[Tmedia media (°C) historica]]*100</f>
        <v>-4.2253521126760543</v>
      </c>
      <c r="O254" s="4">
        <f>+(Tabla1[[#This Row],[Prec acum (mm)]]-Tabla1[[#This Row],[Prec acum (mm) historica]])/Tabla1[[#This Row],[Prec acum (mm) historica]]*100</f>
        <v>-65.625</v>
      </c>
    </row>
    <row r="255" spans="1:15" hidden="1" x14ac:dyDescent="0.25">
      <c r="A255">
        <v>1994</v>
      </c>
      <c r="B255" t="s">
        <v>18</v>
      </c>
      <c r="C255" t="s">
        <v>22</v>
      </c>
      <c r="D255" s="6">
        <v>12.9</v>
      </c>
      <c r="E255" s="6">
        <v>1.5</v>
      </c>
      <c r="F255" s="6">
        <v>7.1</v>
      </c>
      <c r="G255" s="6">
        <v>32</v>
      </c>
      <c r="H255" s="10">
        <v>12.9</v>
      </c>
      <c r="I255" s="10">
        <v>1.4</v>
      </c>
      <c r="J255" s="10">
        <v>7.2</v>
      </c>
      <c r="K255" s="10">
        <v>44</v>
      </c>
      <c r="L255" s="3">
        <f>+(Tabla1[[#This Row],[Tmax media (°C)]]-Tabla1[[#This Row],[Tmax media (°C) historica]])/Tabla1[[#This Row],[Tmax media (°C) historica]]*100</f>
        <v>0</v>
      </c>
      <c r="M255" s="3">
        <f>+(Tabla1[[#This Row],[Tmin media (°C)]]-Tabla1[[#This Row],[Tmin media (°C) historica]])/Tabla1[[#This Row],[Tmin media (°C) historica]]*100</f>
        <v>-6.6666666666666723</v>
      </c>
      <c r="N255" s="3">
        <f>+(Tabla1[[#This Row],[Tmedia media (°C)]]-Tabla1[[#This Row],[Tmedia media (°C) historica]])/Tabla1[[#This Row],[Tmedia media (°C) historica]]*100</f>
        <v>1.4084507042253596</v>
      </c>
      <c r="O255" s="3">
        <f>+(Tabla1[[#This Row],[Prec acum (mm)]]-Tabla1[[#This Row],[Prec acum (mm) historica]])/Tabla1[[#This Row],[Prec acum (mm) historica]]*100</f>
        <v>37.5</v>
      </c>
    </row>
    <row r="256" spans="1:15" hidden="1" x14ac:dyDescent="0.25">
      <c r="A256">
        <v>1997</v>
      </c>
      <c r="B256" t="s">
        <v>18</v>
      </c>
      <c r="C256" t="s">
        <v>22</v>
      </c>
      <c r="D256" s="6">
        <v>12.9</v>
      </c>
      <c r="E256" s="6">
        <v>1.5</v>
      </c>
      <c r="F256" s="6">
        <v>7.1</v>
      </c>
      <c r="G256" s="6">
        <v>32</v>
      </c>
      <c r="H256" s="10">
        <v>14.2</v>
      </c>
      <c r="I256" s="10">
        <v>4.2</v>
      </c>
      <c r="J256" s="10">
        <v>9.1999999999999993</v>
      </c>
      <c r="K256" s="10">
        <v>26</v>
      </c>
      <c r="L256" s="4">
        <f>+(Tabla1[[#This Row],[Tmax media (°C)]]-Tabla1[[#This Row],[Tmax media (°C) historica]])/Tabla1[[#This Row],[Tmax media (°C) historica]]*100</f>
        <v>10.077519379844952</v>
      </c>
      <c r="M256" s="4">
        <f>+(Tabla1[[#This Row],[Tmin media (°C)]]-Tabla1[[#This Row],[Tmin media (°C) historica]])/Tabla1[[#This Row],[Tmin media (°C) historica]]*100</f>
        <v>180</v>
      </c>
      <c r="N256" s="4">
        <f>+(Tabla1[[#This Row],[Tmedia media (°C)]]-Tabla1[[#This Row],[Tmedia media (°C) historica]])/Tabla1[[#This Row],[Tmedia media (°C) historica]]*100</f>
        <v>29.577464788732389</v>
      </c>
      <c r="O256" s="4">
        <f>+(Tabla1[[#This Row],[Prec acum (mm)]]-Tabla1[[#This Row],[Prec acum (mm) historica]])/Tabla1[[#This Row],[Prec acum (mm) historica]]*100</f>
        <v>-18.75</v>
      </c>
    </row>
    <row r="257" spans="1:15" hidden="1" x14ac:dyDescent="0.25">
      <c r="A257">
        <v>2002</v>
      </c>
      <c r="B257" t="s">
        <v>18</v>
      </c>
      <c r="C257" t="s">
        <v>22</v>
      </c>
      <c r="D257" s="6">
        <v>12.9</v>
      </c>
      <c r="E257" s="6">
        <v>1.5</v>
      </c>
      <c r="F257" s="6">
        <v>7.1</v>
      </c>
      <c r="G257" s="6">
        <v>32</v>
      </c>
      <c r="H257" s="10">
        <v>12.3</v>
      </c>
      <c r="I257" s="10">
        <v>2.5</v>
      </c>
      <c r="J257" s="10">
        <v>7.4</v>
      </c>
      <c r="K257" s="10">
        <v>92</v>
      </c>
      <c r="L257" s="3">
        <f>+(Tabla1[[#This Row],[Tmax media (°C)]]-Tabla1[[#This Row],[Tmax media (°C) historica]])/Tabla1[[#This Row],[Tmax media (°C) historica]]*100</f>
        <v>-4.651162790697672</v>
      </c>
      <c r="M257" s="3">
        <f>+(Tabla1[[#This Row],[Tmin media (°C)]]-Tabla1[[#This Row],[Tmin media (°C) historica]])/Tabla1[[#This Row],[Tmin media (°C) historica]]*100</f>
        <v>66.666666666666657</v>
      </c>
      <c r="N257" s="3">
        <f>+(Tabla1[[#This Row],[Tmedia media (°C)]]-Tabla1[[#This Row],[Tmedia media (°C) historica]])/Tabla1[[#This Row],[Tmedia media (°C) historica]]*100</f>
        <v>4.2253521126760667</v>
      </c>
      <c r="O257" s="3">
        <f>+(Tabla1[[#This Row],[Prec acum (mm)]]-Tabla1[[#This Row],[Prec acum (mm) historica]])/Tabla1[[#This Row],[Prec acum (mm) historica]]*100</f>
        <v>187.5</v>
      </c>
    </row>
    <row r="258" spans="1:15" hidden="1" x14ac:dyDescent="0.25">
      <c r="A258">
        <v>2004</v>
      </c>
      <c r="B258" t="s">
        <v>18</v>
      </c>
      <c r="C258" t="s">
        <v>22</v>
      </c>
      <c r="D258" s="6">
        <v>12.9</v>
      </c>
      <c r="E258" s="6">
        <v>1.5</v>
      </c>
      <c r="F258" s="6">
        <v>7.1</v>
      </c>
      <c r="G258" s="6">
        <v>32</v>
      </c>
      <c r="H258" s="10">
        <v>13.4</v>
      </c>
      <c r="I258" s="10">
        <v>2.8</v>
      </c>
      <c r="J258" s="10">
        <v>8.1</v>
      </c>
      <c r="K258" s="10">
        <v>74</v>
      </c>
      <c r="L258" s="4">
        <f>+(Tabla1[[#This Row],[Tmax media (°C)]]-Tabla1[[#This Row],[Tmax media (°C) historica]])/Tabla1[[#This Row],[Tmax media (°C) historica]]*100</f>
        <v>3.8759689922480618</v>
      </c>
      <c r="M258" s="4">
        <f>+(Tabla1[[#This Row],[Tmin media (°C)]]-Tabla1[[#This Row],[Tmin media (°C) historica]])/Tabla1[[#This Row],[Tmin media (°C) historica]]*100</f>
        <v>86.666666666666657</v>
      </c>
      <c r="N258" s="4">
        <f>+(Tabla1[[#This Row],[Tmedia media (°C)]]-Tabla1[[#This Row],[Tmedia media (°C) historica]])/Tabla1[[#This Row],[Tmedia media (°C) historica]]*100</f>
        <v>14.084507042253522</v>
      </c>
      <c r="O258" s="4">
        <f>+(Tabla1[[#This Row],[Prec acum (mm)]]-Tabla1[[#This Row],[Prec acum (mm) historica]])/Tabla1[[#This Row],[Prec acum (mm) historica]]*100</f>
        <v>131.25</v>
      </c>
    </row>
    <row r="259" spans="1:15" hidden="1" x14ac:dyDescent="0.25">
      <c r="A259">
        <v>2015</v>
      </c>
      <c r="B259" t="s">
        <v>18</v>
      </c>
      <c r="C259" t="s">
        <v>22</v>
      </c>
      <c r="D259" s="6">
        <v>12.9</v>
      </c>
      <c r="E259" s="6">
        <v>1.5</v>
      </c>
      <c r="F259" s="6">
        <v>7.1</v>
      </c>
      <c r="G259" s="6">
        <v>32</v>
      </c>
      <c r="H259" s="10">
        <v>14</v>
      </c>
      <c r="I259" s="10">
        <v>2.2999999999999998</v>
      </c>
      <c r="J259" s="10">
        <v>8.1</v>
      </c>
      <c r="K259" s="10">
        <v>34</v>
      </c>
      <c r="L259" s="3">
        <f>+(Tabla1[[#This Row],[Tmax media (°C)]]-Tabla1[[#This Row],[Tmax media (°C) historica]])/Tabla1[[#This Row],[Tmax media (°C) historica]]*100</f>
        <v>8.5271317829457338</v>
      </c>
      <c r="M259" s="3">
        <f>+(Tabla1[[#This Row],[Tmin media (°C)]]-Tabla1[[#This Row],[Tmin media (°C) historica]])/Tabla1[[#This Row],[Tmin media (°C) historica]]*100</f>
        <v>53.333333333333321</v>
      </c>
      <c r="N259" s="3">
        <f>+(Tabla1[[#This Row],[Tmedia media (°C)]]-Tabla1[[#This Row],[Tmedia media (°C) historica]])/Tabla1[[#This Row],[Tmedia media (°C) historica]]*100</f>
        <v>14.084507042253522</v>
      </c>
      <c r="O259" s="3">
        <f>+(Tabla1[[#This Row],[Prec acum (mm)]]-Tabla1[[#This Row],[Prec acum (mm) historica]])/Tabla1[[#This Row],[Prec acum (mm) historica]]*100</f>
        <v>6.25</v>
      </c>
    </row>
    <row r="260" spans="1:15" hidden="1" x14ac:dyDescent="0.25">
      <c r="A260">
        <v>2023</v>
      </c>
      <c r="B260" t="s">
        <v>18</v>
      </c>
      <c r="C260" t="s">
        <v>22</v>
      </c>
      <c r="D260" s="6">
        <v>12.9</v>
      </c>
      <c r="E260" s="6">
        <v>1.5</v>
      </c>
      <c r="F260" s="6">
        <v>7.1</v>
      </c>
      <c r="G260" s="6">
        <v>32</v>
      </c>
      <c r="H260" s="10">
        <v>12.7</v>
      </c>
      <c r="I260" s="10">
        <v>3.3</v>
      </c>
      <c r="J260" s="10">
        <v>8</v>
      </c>
      <c r="K260" s="10">
        <v>97</v>
      </c>
      <c r="L260" s="4">
        <f>+(Tabla1[[#This Row],[Tmax media (°C)]]-Tabla1[[#This Row],[Tmax media (°C) historica]])/Tabla1[[#This Row],[Tmax media (°C) historica]]*100</f>
        <v>-1.5503875968992331</v>
      </c>
      <c r="M260" s="4">
        <f>+(Tabla1[[#This Row],[Tmin media (°C)]]-Tabla1[[#This Row],[Tmin media (°C) historica]])/Tabla1[[#This Row],[Tmin media (°C) historica]]*100</f>
        <v>120</v>
      </c>
      <c r="N260" s="4">
        <f>+(Tabla1[[#This Row],[Tmedia media (°C)]]-Tabla1[[#This Row],[Tmedia media (°C) historica]])/Tabla1[[#This Row],[Tmedia media (°C) historica]]*100</f>
        <v>12.676056338028175</v>
      </c>
      <c r="O260" s="4">
        <f>+(Tabla1[[#This Row],[Prec acum (mm)]]-Tabla1[[#This Row],[Prec acum (mm) historica]])/Tabla1[[#This Row],[Prec acum (mm) historica]]*100</f>
        <v>203.125</v>
      </c>
    </row>
    <row r="261" spans="1:15" hidden="1" x14ac:dyDescent="0.25">
      <c r="A261">
        <v>1987</v>
      </c>
      <c r="B261" t="s">
        <v>18</v>
      </c>
      <c r="C261" t="s">
        <v>23</v>
      </c>
      <c r="D261" s="6">
        <v>16</v>
      </c>
      <c r="E261" s="6">
        <v>2.8</v>
      </c>
      <c r="F261" s="6">
        <v>9.4</v>
      </c>
      <c r="G261" s="6">
        <v>34</v>
      </c>
      <c r="H261" s="10" t="s">
        <v>17</v>
      </c>
      <c r="I261" s="10" t="s">
        <v>17</v>
      </c>
      <c r="J261" s="10" t="s">
        <v>17</v>
      </c>
      <c r="K261" s="10" t="s">
        <v>17</v>
      </c>
      <c r="L261" s="3" t="e">
        <f>+(Tabla1[[#This Row],[Tmax media (°C)]]-Tabla1[[#This Row],[Tmax media (°C) historica]])/Tabla1[[#This Row],[Tmax media (°C) historica]]*100</f>
        <v>#VALUE!</v>
      </c>
      <c r="M261" s="3" t="e">
        <f>+(Tabla1[[#This Row],[Tmin media (°C)]]-Tabla1[[#This Row],[Tmin media (°C) historica]])/Tabla1[[#This Row],[Tmin media (°C) historica]]*100</f>
        <v>#VALUE!</v>
      </c>
      <c r="N261" s="3" t="e">
        <f>+(Tabla1[[#This Row],[Tmedia media (°C)]]-Tabla1[[#This Row],[Tmedia media (°C) historica]])/Tabla1[[#This Row],[Tmedia media (°C) historica]]*100</f>
        <v>#VALUE!</v>
      </c>
      <c r="O261" s="3" t="e">
        <f>+(Tabla1[[#This Row],[Prec acum (mm)]]-Tabla1[[#This Row],[Prec acum (mm) historica]])/Tabla1[[#This Row],[Prec acum (mm) historica]]*100</f>
        <v>#VALUE!</v>
      </c>
    </row>
    <row r="262" spans="1:15" hidden="1" x14ac:dyDescent="0.25">
      <c r="A262">
        <v>1991</v>
      </c>
      <c r="B262" t="s">
        <v>18</v>
      </c>
      <c r="C262" t="s">
        <v>23</v>
      </c>
      <c r="D262" s="6">
        <v>15.4</v>
      </c>
      <c r="E262" s="6">
        <v>2.9</v>
      </c>
      <c r="F262" s="6">
        <v>9.4</v>
      </c>
      <c r="G262" s="6">
        <v>32</v>
      </c>
      <c r="H262" s="10">
        <v>15.5</v>
      </c>
      <c r="I262" s="10">
        <v>4</v>
      </c>
      <c r="J262" s="10">
        <v>9.6999999999999993</v>
      </c>
      <c r="K262" s="10">
        <v>15</v>
      </c>
      <c r="L262" s="4">
        <f>+(Tabla1[[#This Row],[Tmax media (°C)]]-Tabla1[[#This Row],[Tmax media (°C) historica]])/Tabla1[[#This Row],[Tmax media (°C) historica]]*100</f>
        <v>0.64935064935064701</v>
      </c>
      <c r="M262" s="4">
        <f>+(Tabla1[[#This Row],[Tmin media (°C)]]-Tabla1[[#This Row],[Tmin media (°C) historica]])/Tabla1[[#This Row],[Tmin media (°C) historica]]*100</f>
        <v>37.931034482758626</v>
      </c>
      <c r="N262" s="4">
        <f>+(Tabla1[[#This Row],[Tmedia media (°C)]]-Tabla1[[#This Row],[Tmedia media (°C) historica]])/Tabla1[[#This Row],[Tmedia media (°C) historica]]*100</f>
        <v>3.1914893617021165</v>
      </c>
      <c r="O262" s="4">
        <f>+(Tabla1[[#This Row],[Prec acum (mm)]]-Tabla1[[#This Row],[Prec acum (mm) historica]])/Tabla1[[#This Row],[Prec acum (mm) historica]]*100</f>
        <v>-53.125</v>
      </c>
    </row>
    <row r="263" spans="1:15" hidden="1" x14ac:dyDescent="0.25">
      <c r="A263">
        <v>1994</v>
      </c>
      <c r="B263" t="s">
        <v>18</v>
      </c>
      <c r="C263" t="s">
        <v>23</v>
      </c>
      <c r="D263" s="6">
        <v>15.4</v>
      </c>
      <c r="E263" s="6">
        <v>2.9</v>
      </c>
      <c r="F263" s="6">
        <v>9.4</v>
      </c>
      <c r="G263" s="6">
        <v>32</v>
      </c>
      <c r="H263" s="10">
        <v>15.4</v>
      </c>
      <c r="I263" s="10">
        <v>2.1</v>
      </c>
      <c r="J263" s="10">
        <v>8.8000000000000007</v>
      </c>
      <c r="K263" s="10">
        <v>20</v>
      </c>
      <c r="L263" s="3">
        <f>+(Tabla1[[#This Row],[Tmax media (°C)]]-Tabla1[[#This Row],[Tmax media (°C) historica]])/Tabla1[[#This Row],[Tmax media (°C) historica]]*100</f>
        <v>0</v>
      </c>
      <c r="M263" s="3">
        <f>+(Tabla1[[#This Row],[Tmin media (°C)]]-Tabla1[[#This Row],[Tmin media (°C) historica]])/Tabla1[[#This Row],[Tmin media (°C) historica]]*100</f>
        <v>-27.586206896551719</v>
      </c>
      <c r="N263" s="3">
        <f>+(Tabla1[[#This Row],[Tmedia media (°C)]]-Tabla1[[#This Row],[Tmedia media (°C) historica]])/Tabla1[[#This Row],[Tmedia media (°C) historica]]*100</f>
        <v>-6.3829787234042508</v>
      </c>
      <c r="O263" s="3">
        <f>+(Tabla1[[#This Row],[Prec acum (mm)]]-Tabla1[[#This Row],[Prec acum (mm) historica]])/Tabla1[[#This Row],[Prec acum (mm) historica]]*100</f>
        <v>-37.5</v>
      </c>
    </row>
    <row r="264" spans="1:15" hidden="1" x14ac:dyDescent="0.25">
      <c r="A264">
        <v>1997</v>
      </c>
      <c r="B264" t="s">
        <v>18</v>
      </c>
      <c r="C264" t="s">
        <v>23</v>
      </c>
      <c r="D264" s="6">
        <v>15.4</v>
      </c>
      <c r="E264" s="6">
        <v>2.9</v>
      </c>
      <c r="F264" s="6">
        <v>9.4</v>
      </c>
      <c r="G264" s="6">
        <v>32</v>
      </c>
      <c r="H264" s="10">
        <v>15.4</v>
      </c>
      <c r="I264" s="10">
        <v>4.4000000000000004</v>
      </c>
      <c r="J264" s="10">
        <v>9.9</v>
      </c>
      <c r="K264" s="10">
        <v>54</v>
      </c>
      <c r="L264" s="4">
        <f>+(Tabla1[[#This Row],[Tmax media (°C)]]-Tabla1[[#This Row],[Tmax media (°C) historica]])/Tabla1[[#This Row],[Tmax media (°C) historica]]*100</f>
        <v>0</v>
      </c>
      <c r="M264" s="4">
        <f>+(Tabla1[[#This Row],[Tmin media (°C)]]-Tabla1[[#This Row],[Tmin media (°C) historica]])/Tabla1[[#This Row],[Tmin media (°C) historica]]*100</f>
        <v>51.724137931034498</v>
      </c>
      <c r="N264" s="4">
        <f>+(Tabla1[[#This Row],[Tmedia media (°C)]]-Tabla1[[#This Row],[Tmedia media (°C) historica]])/Tabla1[[#This Row],[Tmedia media (°C) historica]]*100</f>
        <v>5.3191489361702127</v>
      </c>
      <c r="O264" s="4">
        <f>+(Tabla1[[#This Row],[Prec acum (mm)]]-Tabla1[[#This Row],[Prec acum (mm) historica]])/Tabla1[[#This Row],[Prec acum (mm) historica]]*100</f>
        <v>68.75</v>
      </c>
    </row>
    <row r="265" spans="1:15" hidden="1" x14ac:dyDescent="0.25">
      <c r="A265">
        <v>2002</v>
      </c>
      <c r="B265" t="s">
        <v>18</v>
      </c>
      <c r="C265" t="s">
        <v>23</v>
      </c>
      <c r="D265" s="6">
        <v>15.4</v>
      </c>
      <c r="E265" s="6">
        <v>2.9</v>
      </c>
      <c r="F265" s="6">
        <v>9.4</v>
      </c>
      <c r="G265" s="6">
        <v>32</v>
      </c>
      <c r="H265" s="10">
        <v>14.6</v>
      </c>
      <c r="I265" s="10">
        <v>4.8</v>
      </c>
      <c r="J265" s="10">
        <v>9.6999999999999993</v>
      </c>
      <c r="K265" s="10">
        <v>119</v>
      </c>
      <c r="L265" s="3">
        <f>+(Tabla1[[#This Row],[Tmax media (°C)]]-Tabla1[[#This Row],[Tmax media (°C) historica]])/Tabla1[[#This Row],[Tmax media (°C) historica]]*100</f>
        <v>-5.1948051948051992</v>
      </c>
      <c r="M265" s="3">
        <f>+(Tabla1[[#This Row],[Tmin media (°C)]]-Tabla1[[#This Row],[Tmin media (°C) historica]])/Tabla1[[#This Row],[Tmin media (°C) historica]]*100</f>
        <v>65.517241379310349</v>
      </c>
      <c r="N265" s="3">
        <f>+(Tabla1[[#This Row],[Tmedia media (°C)]]-Tabla1[[#This Row],[Tmedia media (°C) historica]])/Tabla1[[#This Row],[Tmedia media (°C) historica]]*100</f>
        <v>3.1914893617021165</v>
      </c>
      <c r="O265" s="3">
        <f>+(Tabla1[[#This Row],[Prec acum (mm)]]-Tabla1[[#This Row],[Prec acum (mm) historica]])/Tabla1[[#This Row],[Prec acum (mm) historica]]*100</f>
        <v>271.875</v>
      </c>
    </row>
    <row r="266" spans="1:15" hidden="1" x14ac:dyDescent="0.25">
      <c r="A266">
        <v>2004</v>
      </c>
      <c r="B266" t="s">
        <v>18</v>
      </c>
      <c r="C266" t="s">
        <v>23</v>
      </c>
      <c r="D266" s="6">
        <v>15.4</v>
      </c>
      <c r="E266" s="6">
        <v>2.9</v>
      </c>
      <c r="F266" s="6">
        <v>9.4</v>
      </c>
      <c r="G266" s="6">
        <v>32</v>
      </c>
      <c r="H266" s="10">
        <v>14.2</v>
      </c>
      <c r="I266" s="10">
        <v>4.5</v>
      </c>
      <c r="J266" s="10">
        <v>9.4</v>
      </c>
      <c r="K266" s="10">
        <v>62</v>
      </c>
      <c r="L266" s="4">
        <f>+(Tabla1[[#This Row],[Tmax media (°C)]]-Tabla1[[#This Row],[Tmax media (°C) historica]])/Tabla1[[#This Row],[Tmax media (°C) historica]]*100</f>
        <v>-7.7922077922077992</v>
      </c>
      <c r="M266" s="4">
        <f>+(Tabla1[[#This Row],[Tmin media (°C)]]-Tabla1[[#This Row],[Tmin media (°C) historica]])/Tabla1[[#This Row],[Tmin media (°C) historica]]*100</f>
        <v>55.172413793103445</v>
      </c>
      <c r="N266" s="4">
        <f>+(Tabla1[[#This Row],[Tmedia media (°C)]]-Tabla1[[#This Row],[Tmedia media (°C) historica]])/Tabla1[[#This Row],[Tmedia media (°C) historica]]*100</f>
        <v>0</v>
      </c>
      <c r="O266" s="4">
        <f>+(Tabla1[[#This Row],[Prec acum (mm)]]-Tabla1[[#This Row],[Prec acum (mm) historica]])/Tabla1[[#This Row],[Prec acum (mm) historica]]*100</f>
        <v>93.75</v>
      </c>
    </row>
    <row r="267" spans="1:15" hidden="1" x14ac:dyDescent="0.25">
      <c r="A267">
        <v>2015</v>
      </c>
      <c r="B267" t="s">
        <v>18</v>
      </c>
      <c r="C267" t="s">
        <v>23</v>
      </c>
      <c r="D267" s="6">
        <v>15.4</v>
      </c>
      <c r="E267" s="6">
        <v>2.9</v>
      </c>
      <c r="F267" s="6">
        <v>9.4</v>
      </c>
      <c r="G267" s="6">
        <v>32</v>
      </c>
      <c r="H267" s="10">
        <v>15.6</v>
      </c>
      <c r="I267" s="10">
        <v>5.6</v>
      </c>
      <c r="J267" s="10">
        <v>10.6</v>
      </c>
      <c r="K267" s="10">
        <v>127</v>
      </c>
      <c r="L267" s="3">
        <f>+(Tabla1[[#This Row],[Tmax media (°C)]]-Tabla1[[#This Row],[Tmax media (°C) historica]])/Tabla1[[#This Row],[Tmax media (°C) historica]]*100</f>
        <v>1.298701298701294</v>
      </c>
      <c r="M267" s="3">
        <f>+(Tabla1[[#This Row],[Tmin media (°C)]]-Tabla1[[#This Row],[Tmin media (°C) historica]])/Tabla1[[#This Row],[Tmin media (°C) historica]]*100</f>
        <v>93.103448275862064</v>
      </c>
      <c r="N267" s="3">
        <f>+(Tabla1[[#This Row],[Tmedia media (°C)]]-Tabla1[[#This Row],[Tmedia media (°C) historica]])/Tabla1[[#This Row],[Tmedia media (°C) historica]]*100</f>
        <v>12.765957446808502</v>
      </c>
      <c r="O267" s="3">
        <f>+(Tabla1[[#This Row],[Prec acum (mm)]]-Tabla1[[#This Row],[Prec acum (mm) historica]])/Tabla1[[#This Row],[Prec acum (mm) historica]]*100</f>
        <v>296.875</v>
      </c>
    </row>
    <row r="268" spans="1:15" hidden="1" x14ac:dyDescent="0.25">
      <c r="A268">
        <v>2023</v>
      </c>
      <c r="B268" t="s">
        <v>18</v>
      </c>
      <c r="C268" t="s">
        <v>23</v>
      </c>
      <c r="D268" s="6">
        <v>15.4</v>
      </c>
      <c r="E268" s="6">
        <v>2.9</v>
      </c>
      <c r="F268" s="6">
        <v>9.4</v>
      </c>
      <c r="G268" s="6">
        <v>32</v>
      </c>
      <c r="H268" s="10">
        <v>15.5</v>
      </c>
      <c r="I268" s="10">
        <v>2.7</v>
      </c>
      <c r="J268" s="10">
        <v>9.1</v>
      </c>
      <c r="K268" s="10">
        <v>25</v>
      </c>
      <c r="L268" s="4">
        <f>+(Tabla1[[#This Row],[Tmax media (°C)]]-Tabla1[[#This Row],[Tmax media (°C) historica]])/Tabla1[[#This Row],[Tmax media (°C) historica]]*100</f>
        <v>0.64935064935064701</v>
      </c>
      <c r="M268" s="4">
        <f>+(Tabla1[[#This Row],[Tmin media (°C)]]-Tabla1[[#This Row],[Tmin media (°C) historica]])/Tabla1[[#This Row],[Tmin media (°C) historica]]*100</f>
        <v>-6.8965517241379226</v>
      </c>
      <c r="N268" s="4">
        <f>+(Tabla1[[#This Row],[Tmedia media (°C)]]-Tabla1[[#This Row],[Tmedia media (°C) historica]])/Tabla1[[#This Row],[Tmedia media (°C) historica]]*100</f>
        <v>-3.1914893617021352</v>
      </c>
      <c r="O268" s="4">
        <f>+(Tabla1[[#This Row],[Prec acum (mm)]]-Tabla1[[#This Row],[Prec acum (mm) historica]])/Tabla1[[#This Row],[Prec acum (mm) historica]]*100</f>
        <v>-21.875</v>
      </c>
    </row>
    <row r="269" spans="1:15" hidden="1" x14ac:dyDescent="0.25">
      <c r="A269">
        <v>1987</v>
      </c>
      <c r="B269" t="s">
        <v>18</v>
      </c>
      <c r="C269" t="s">
        <v>24</v>
      </c>
      <c r="D269" s="6">
        <v>17.3</v>
      </c>
      <c r="E269" s="6">
        <v>3.8</v>
      </c>
      <c r="F269" s="6">
        <v>10.6</v>
      </c>
      <c r="G269" s="6">
        <v>37</v>
      </c>
      <c r="H269" s="10" t="s">
        <v>17</v>
      </c>
      <c r="I269" s="10" t="s">
        <v>17</v>
      </c>
      <c r="J269" s="10" t="s">
        <v>17</v>
      </c>
      <c r="K269" s="10" t="s">
        <v>17</v>
      </c>
      <c r="L269" s="3" t="e">
        <f>+(Tabla1[[#This Row],[Tmax media (°C)]]-Tabla1[[#This Row],[Tmax media (°C) historica]])/Tabla1[[#This Row],[Tmax media (°C) historica]]*100</f>
        <v>#VALUE!</v>
      </c>
      <c r="M269" s="3" t="e">
        <f>+(Tabla1[[#This Row],[Tmin media (°C)]]-Tabla1[[#This Row],[Tmin media (°C) historica]])/Tabla1[[#This Row],[Tmin media (°C) historica]]*100</f>
        <v>#VALUE!</v>
      </c>
      <c r="N269" s="3" t="e">
        <f>+(Tabla1[[#This Row],[Tmedia media (°C)]]-Tabla1[[#This Row],[Tmedia media (°C) historica]])/Tabla1[[#This Row],[Tmedia media (°C) historica]]*100</f>
        <v>#VALUE!</v>
      </c>
      <c r="O269" s="3" t="e">
        <f>+(Tabla1[[#This Row],[Prec acum (mm)]]-Tabla1[[#This Row],[Prec acum (mm) historica]])/Tabla1[[#This Row],[Prec acum (mm) historica]]*100</f>
        <v>#VALUE!</v>
      </c>
    </row>
    <row r="270" spans="1:15" hidden="1" x14ac:dyDescent="0.25">
      <c r="A270">
        <v>1991</v>
      </c>
      <c r="B270" t="s">
        <v>18</v>
      </c>
      <c r="C270" t="s">
        <v>24</v>
      </c>
      <c r="D270" s="6">
        <v>17.399999999999999</v>
      </c>
      <c r="E270" s="6">
        <v>4.4000000000000004</v>
      </c>
      <c r="F270" s="6">
        <v>11</v>
      </c>
      <c r="G270" s="6">
        <v>55</v>
      </c>
      <c r="H270" s="10">
        <v>17.600000000000001</v>
      </c>
      <c r="I270" s="10">
        <v>6.3</v>
      </c>
      <c r="J270" s="10">
        <v>12</v>
      </c>
      <c r="K270" s="10">
        <v>80</v>
      </c>
      <c r="L270" s="4">
        <f>+(Tabla1[[#This Row],[Tmax media (°C)]]-Tabla1[[#This Row],[Tmax media (°C) historica]])/Tabla1[[#This Row],[Tmax media (°C) historica]]*100</f>
        <v>1.1494252873563382</v>
      </c>
      <c r="M270" s="4">
        <f>+(Tabla1[[#This Row],[Tmin media (°C)]]-Tabla1[[#This Row],[Tmin media (°C) historica]])/Tabla1[[#This Row],[Tmin media (°C) historica]]*100</f>
        <v>43.181818181818166</v>
      </c>
      <c r="N270" s="4">
        <f>+(Tabla1[[#This Row],[Tmedia media (°C)]]-Tabla1[[#This Row],[Tmedia media (°C) historica]])/Tabla1[[#This Row],[Tmedia media (°C) historica]]*100</f>
        <v>9.0909090909090917</v>
      </c>
      <c r="O270" s="4">
        <f>+(Tabla1[[#This Row],[Prec acum (mm)]]-Tabla1[[#This Row],[Prec acum (mm) historica]])/Tabla1[[#This Row],[Prec acum (mm) historica]]*100</f>
        <v>45.454545454545453</v>
      </c>
    </row>
    <row r="271" spans="1:15" hidden="1" x14ac:dyDescent="0.25">
      <c r="A271">
        <v>1994</v>
      </c>
      <c r="B271" t="s">
        <v>18</v>
      </c>
      <c r="C271" t="s">
        <v>24</v>
      </c>
      <c r="D271" s="6">
        <v>17.399999999999999</v>
      </c>
      <c r="E271" s="6">
        <v>4.4000000000000004</v>
      </c>
      <c r="F271" s="6">
        <v>11</v>
      </c>
      <c r="G271" s="6">
        <v>55</v>
      </c>
      <c r="H271" s="10">
        <v>17.7</v>
      </c>
      <c r="I271" s="10">
        <v>5.5</v>
      </c>
      <c r="J271" s="10">
        <v>11.6</v>
      </c>
      <c r="K271" s="10">
        <v>18</v>
      </c>
      <c r="L271" s="3">
        <f>+(Tabla1[[#This Row],[Tmax media (°C)]]-Tabla1[[#This Row],[Tmax media (°C) historica]])/Tabla1[[#This Row],[Tmax media (°C) historica]]*100</f>
        <v>1.7241379310344869</v>
      </c>
      <c r="M271" s="3">
        <f>+(Tabla1[[#This Row],[Tmin media (°C)]]-Tabla1[[#This Row],[Tmin media (°C) historica]])/Tabla1[[#This Row],[Tmin media (°C) historica]]*100</f>
        <v>24.999999999999989</v>
      </c>
      <c r="N271" s="3">
        <f>+(Tabla1[[#This Row],[Tmedia media (°C)]]-Tabla1[[#This Row],[Tmedia media (°C) historica]])/Tabla1[[#This Row],[Tmedia media (°C) historica]]*100</f>
        <v>5.4545454545454515</v>
      </c>
      <c r="O271" s="3">
        <f>+(Tabla1[[#This Row],[Prec acum (mm)]]-Tabla1[[#This Row],[Prec acum (mm) historica]])/Tabla1[[#This Row],[Prec acum (mm) historica]]*100</f>
        <v>-67.272727272727266</v>
      </c>
    </row>
    <row r="272" spans="1:15" hidden="1" x14ac:dyDescent="0.25">
      <c r="A272">
        <v>1997</v>
      </c>
      <c r="B272" t="s">
        <v>18</v>
      </c>
      <c r="C272" t="s">
        <v>24</v>
      </c>
      <c r="D272" s="6">
        <v>17.399999999999999</v>
      </c>
      <c r="E272" s="6">
        <v>4.4000000000000004</v>
      </c>
      <c r="F272" s="6">
        <v>11</v>
      </c>
      <c r="G272" s="6">
        <v>55</v>
      </c>
      <c r="H272" s="10">
        <v>16.5</v>
      </c>
      <c r="I272" s="10">
        <v>3.6</v>
      </c>
      <c r="J272" s="10">
        <v>10.1</v>
      </c>
      <c r="K272" s="10">
        <v>22</v>
      </c>
      <c r="L272" s="4">
        <f>+(Tabla1[[#This Row],[Tmax media (°C)]]-Tabla1[[#This Row],[Tmax media (°C) historica]])/Tabla1[[#This Row],[Tmax media (°C) historica]]*100</f>
        <v>-5.1724137931034404</v>
      </c>
      <c r="M272" s="4">
        <f>+(Tabla1[[#This Row],[Tmin media (°C)]]-Tabla1[[#This Row],[Tmin media (°C) historica]])/Tabla1[[#This Row],[Tmin media (°C) historica]]*100</f>
        <v>-18.181818181818183</v>
      </c>
      <c r="N272" s="4">
        <f>+(Tabla1[[#This Row],[Tmedia media (°C)]]-Tabla1[[#This Row],[Tmedia media (°C) historica]])/Tabla1[[#This Row],[Tmedia media (°C) historica]]*100</f>
        <v>-8.1818181818181852</v>
      </c>
      <c r="O272" s="4">
        <f>+(Tabla1[[#This Row],[Prec acum (mm)]]-Tabla1[[#This Row],[Prec acum (mm) historica]])/Tabla1[[#This Row],[Prec acum (mm) historica]]*100</f>
        <v>-60</v>
      </c>
    </row>
    <row r="273" spans="1:15" hidden="1" x14ac:dyDescent="0.25">
      <c r="A273">
        <v>2002</v>
      </c>
      <c r="B273" t="s">
        <v>18</v>
      </c>
      <c r="C273" t="s">
        <v>24</v>
      </c>
      <c r="D273" s="6">
        <v>17.399999999999999</v>
      </c>
      <c r="E273" s="6">
        <v>4.4000000000000004</v>
      </c>
      <c r="F273" s="6">
        <v>11</v>
      </c>
      <c r="G273" s="6">
        <v>55</v>
      </c>
      <c r="H273" s="10">
        <v>16.600000000000001</v>
      </c>
      <c r="I273" s="10">
        <v>5.4</v>
      </c>
      <c r="J273" s="10">
        <v>11</v>
      </c>
      <c r="K273" s="10">
        <v>69</v>
      </c>
      <c r="L273" s="3">
        <f>+(Tabla1[[#This Row],[Tmax media (°C)]]-Tabla1[[#This Row],[Tmax media (°C) historica]])/Tabla1[[#This Row],[Tmax media (°C) historica]]*100</f>
        <v>-4.5977011494252711</v>
      </c>
      <c r="M273" s="3">
        <f>+(Tabla1[[#This Row],[Tmin media (°C)]]-Tabla1[[#This Row],[Tmin media (°C) historica]])/Tabla1[[#This Row],[Tmin media (°C) historica]]*100</f>
        <v>22.727272727272727</v>
      </c>
      <c r="N273" s="3">
        <f>+(Tabla1[[#This Row],[Tmedia media (°C)]]-Tabla1[[#This Row],[Tmedia media (°C) historica]])/Tabla1[[#This Row],[Tmedia media (°C) historica]]*100</f>
        <v>0</v>
      </c>
      <c r="O273" s="3">
        <f>+(Tabla1[[#This Row],[Prec acum (mm)]]-Tabla1[[#This Row],[Prec acum (mm) historica]])/Tabla1[[#This Row],[Prec acum (mm) historica]]*100</f>
        <v>25.454545454545453</v>
      </c>
    </row>
    <row r="274" spans="1:15" hidden="1" x14ac:dyDescent="0.25">
      <c r="A274">
        <v>2004</v>
      </c>
      <c r="B274" t="s">
        <v>18</v>
      </c>
      <c r="C274" t="s">
        <v>24</v>
      </c>
      <c r="D274" s="6">
        <v>17.399999999999999</v>
      </c>
      <c r="E274" s="6">
        <v>4.4000000000000004</v>
      </c>
      <c r="F274" s="6">
        <v>11</v>
      </c>
      <c r="G274" s="6">
        <v>55</v>
      </c>
      <c r="H274" s="10">
        <v>18.3</v>
      </c>
      <c r="I274" s="10">
        <v>4.5999999999999996</v>
      </c>
      <c r="J274" s="10">
        <v>11.4</v>
      </c>
      <c r="K274" s="10">
        <v>20</v>
      </c>
      <c r="L274" s="4">
        <f>+(Tabla1[[#This Row],[Tmax media (°C)]]-Tabla1[[#This Row],[Tmax media (°C) historica]])/Tabla1[[#This Row],[Tmax media (°C) historica]]*100</f>
        <v>5.1724137931034608</v>
      </c>
      <c r="M274" s="4">
        <f>+(Tabla1[[#This Row],[Tmin media (°C)]]-Tabla1[[#This Row],[Tmin media (°C) historica]])/Tabla1[[#This Row],[Tmin media (°C) historica]]*100</f>
        <v>4.545454545454529</v>
      </c>
      <c r="N274" s="4">
        <f>+(Tabla1[[#This Row],[Tmedia media (°C)]]-Tabla1[[#This Row],[Tmedia media (°C) historica]])/Tabla1[[#This Row],[Tmedia media (°C) historica]]*100</f>
        <v>3.6363636363636398</v>
      </c>
      <c r="O274" s="4">
        <f>+(Tabla1[[#This Row],[Prec acum (mm)]]-Tabla1[[#This Row],[Prec acum (mm) historica]])/Tabla1[[#This Row],[Prec acum (mm) historica]]*100</f>
        <v>-63.636363636363633</v>
      </c>
    </row>
    <row r="275" spans="1:15" hidden="1" x14ac:dyDescent="0.25">
      <c r="A275">
        <v>2015</v>
      </c>
      <c r="B275" t="s">
        <v>18</v>
      </c>
      <c r="C275" t="s">
        <v>24</v>
      </c>
      <c r="D275" s="6">
        <v>17.399999999999999</v>
      </c>
      <c r="E275" s="6">
        <v>4.4000000000000004</v>
      </c>
      <c r="F275" s="6">
        <v>11</v>
      </c>
      <c r="G275" s="6">
        <v>55</v>
      </c>
      <c r="H275" s="10">
        <v>16.7</v>
      </c>
      <c r="I275" s="10">
        <v>3.2</v>
      </c>
      <c r="J275" s="10">
        <v>9.9</v>
      </c>
      <c r="K275" s="10">
        <v>8</v>
      </c>
      <c r="L275" s="3">
        <f>+(Tabla1[[#This Row],[Tmax media (°C)]]-Tabla1[[#This Row],[Tmax media (°C) historica]])/Tabla1[[#This Row],[Tmax media (°C) historica]]*100</f>
        <v>-4.0229885057471231</v>
      </c>
      <c r="M275" s="3">
        <f>+(Tabla1[[#This Row],[Tmin media (°C)]]-Tabla1[[#This Row],[Tmin media (°C) historica]])/Tabla1[[#This Row],[Tmin media (°C) historica]]*100</f>
        <v>-27.272727272727277</v>
      </c>
      <c r="N275" s="3">
        <f>+(Tabla1[[#This Row],[Tmedia media (°C)]]-Tabla1[[#This Row],[Tmedia media (°C) historica]])/Tabla1[[#This Row],[Tmedia media (°C) historica]]*100</f>
        <v>-9.9999999999999964</v>
      </c>
      <c r="O275" s="3">
        <f>+(Tabla1[[#This Row],[Prec acum (mm)]]-Tabla1[[#This Row],[Prec acum (mm) historica]])/Tabla1[[#This Row],[Prec acum (mm) historica]]*100</f>
        <v>-85.454545454545453</v>
      </c>
    </row>
    <row r="276" spans="1:15" hidden="1" x14ac:dyDescent="0.25">
      <c r="A276">
        <v>2023</v>
      </c>
      <c r="B276" t="s">
        <v>18</v>
      </c>
      <c r="C276" t="s">
        <v>24</v>
      </c>
      <c r="D276" s="6">
        <v>17.399999999999999</v>
      </c>
      <c r="E276" s="6">
        <v>4.4000000000000004</v>
      </c>
      <c r="F276" s="6">
        <v>11</v>
      </c>
      <c r="G276" s="6">
        <v>55</v>
      </c>
      <c r="H276" s="10">
        <v>16.8</v>
      </c>
      <c r="I276" s="10">
        <v>5</v>
      </c>
      <c r="J276" s="10">
        <v>10.9</v>
      </c>
      <c r="K276" s="10">
        <v>76</v>
      </c>
      <c r="L276" s="4">
        <f>+(Tabla1[[#This Row],[Tmax media (°C)]]-Tabla1[[#This Row],[Tmax media (°C) historica]])/Tabla1[[#This Row],[Tmax media (°C) historica]]*100</f>
        <v>-3.4482758620689538</v>
      </c>
      <c r="M276" s="4">
        <f>+(Tabla1[[#This Row],[Tmin media (°C)]]-Tabla1[[#This Row],[Tmin media (°C) historica]])/Tabla1[[#This Row],[Tmin media (°C) historica]]*100</f>
        <v>13.636363636363628</v>
      </c>
      <c r="N276" s="4">
        <f>+(Tabla1[[#This Row],[Tmedia media (°C)]]-Tabla1[[#This Row],[Tmedia media (°C) historica]])/Tabla1[[#This Row],[Tmedia media (°C) historica]]*100</f>
        <v>-0.90909090909090595</v>
      </c>
      <c r="O276" s="4">
        <f>+(Tabla1[[#This Row],[Prec acum (mm)]]-Tabla1[[#This Row],[Prec acum (mm) historica]])/Tabla1[[#This Row],[Prec acum (mm) historica]]*100</f>
        <v>38.181818181818187</v>
      </c>
    </row>
    <row r="277" spans="1:15" hidden="1" x14ac:dyDescent="0.25">
      <c r="A277">
        <v>1987</v>
      </c>
      <c r="B277" t="s">
        <v>18</v>
      </c>
      <c r="C277" t="s">
        <v>25</v>
      </c>
      <c r="D277" s="6">
        <v>20.7</v>
      </c>
      <c r="E277" s="6">
        <v>7.6</v>
      </c>
      <c r="F277" s="6">
        <v>14.1</v>
      </c>
      <c r="G277" s="6">
        <v>70</v>
      </c>
      <c r="H277" s="10" t="s">
        <v>17</v>
      </c>
      <c r="I277" s="10" t="s">
        <v>17</v>
      </c>
      <c r="J277" s="10" t="s">
        <v>17</v>
      </c>
      <c r="K277" s="10" t="s">
        <v>17</v>
      </c>
      <c r="L277" s="3" t="e">
        <f>+(Tabla1[[#This Row],[Tmax media (°C)]]-Tabla1[[#This Row],[Tmax media (°C) historica]])/Tabla1[[#This Row],[Tmax media (°C) historica]]*100</f>
        <v>#VALUE!</v>
      </c>
      <c r="M277" s="3" t="e">
        <f>+(Tabla1[[#This Row],[Tmin media (°C)]]-Tabla1[[#This Row],[Tmin media (°C) historica]])/Tabla1[[#This Row],[Tmin media (°C) historica]]*100</f>
        <v>#VALUE!</v>
      </c>
      <c r="N277" s="3" t="e">
        <f>+(Tabla1[[#This Row],[Tmedia media (°C)]]-Tabla1[[#This Row],[Tmedia media (°C) historica]])/Tabla1[[#This Row],[Tmedia media (°C) historica]]*100</f>
        <v>#VALUE!</v>
      </c>
      <c r="O277" s="3" t="e">
        <f>+(Tabla1[[#This Row],[Prec acum (mm)]]-Tabla1[[#This Row],[Prec acum (mm) historica]])/Tabla1[[#This Row],[Prec acum (mm) historica]]*100</f>
        <v>#VALUE!</v>
      </c>
    </row>
    <row r="278" spans="1:15" hidden="1" x14ac:dyDescent="0.25">
      <c r="A278">
        <v>1991</v>
      </c>
      <c r="B278" t="s">
        <v>18</v>
      </c>
      <c r="C278" t="s">
        <v>25</v>
      </c>
      <c r="D278" s="6">
        <v>20.7</v>
      </c>
      <c r="E278" s="6">
        <v>7.6</v>
      </c>
      <c r="F278" s="6">
        <v>14</v>
      </c>
      <c r="G278" s="6">
        <v>80</v>
      </c>
      <c r="H278" s="10">
        <v>20</v>
      </c>
      <c r="I278" s="10">
        <v>6.4</v>
      </c>
      <c r="J278" s="10">
        <v>13.2</v>
      </c>
      <c r="K278" s="10">
        <v>70</v>
      </c>
      <c r="L278" s="4">
        <f>+(Tabla1[[#This Row],[Tmax media (°C)]]-Tabla1[[#This Row],[Tmax media (°C) historica]])/Tabla1[[#This Row],[Tmax media (°C) historica]]*100</f>
        <v>-3.3816425120772915</v>
      </c>
      <c r="M278" s="4">
        <f>+(Tabla1[[#This Row],[Tmin media (°C)]]-Tabla1[[#This Row],[Tmin media (°C) historica]])/Tabla1[[#This Row],[Tmin media (°C) historica]]*100</f>
        <v>-15.789473684210517</v>
      </c>
      <c r="N278" s="4">
        <f>+(Tabla1[[#This Row],[Tmedia media (°C)]]-Tabla1[[#This Row],[Tmedia media (°C) historica]])/Tabla1[[#This Row],[Tmedia media (°C) historica]]*100</f>
        <v>-5.7142857142857197</v>
      </c>
      <c r="O278" s="4">
        <f>+(Tabla1[[#This Row],[Prec acum (mm)]]-Tabla1[[#This Row],[Prec acum (mm) historica]])/Tabla1[[#This Row],[Prec acum (mm) historica]]*100</f>
        <v>-12.5</v>
      </c>
    </row>
    <row r="279" spans="1:15" hidden="1" x14ac:dyDescent="0.25">
      <c r="A279">
        <v>1994</v>
      </c>
      <c r="B279" t="s">
        <v>18</v>
      </c>
      <c r="C279" t="s">
        <v>25</v>
      </c>
      <c r="D279" s="6">
        <v>20.7</v>
      </c>
      <c r="E279" s="6">
        <v>7.6</v>
      </c>
      <c r="F279" s="6">
        <v>14</v>
      </c>
      <c r="G279" s="6">
        <v>80</v>
      </c>
      <c r="H279" s="10">
        <v>18.8</v>
      </c>
      <c r="I279" s="10">
        <v>7.4</v>
      </c>
      <c r="J279" s="10">
        <v>13.1</v>
      </c>
      <c r="K279" s="10">
        <v>118</v>
      </c>
      <c r="L279" s="3">
        <f>+(Tabla1[[#This Row],[Tmax media (°C)]]-Tabla1[[#This Row],[Tmax media (°C) historica]])/Tabla1[[#This Row],[Tmax media (°C) historica]]*100</f>
        <v>-9.1787439613526498</v>
      </c>
      <c r="M279" s="3">
        <f>+(Tabla1[[#This Row],[Tmin media (°C)]]-Tabla1[[#This Row],[Tmin media (°C) historica]])/Tabla1[[#This Row],[Tmin media (°C) historica]]*100</f>
        <v>-2.6315789473684119</v>
      </c>
      <c r="N279" s="3">
        <f>+(Tabla1[[#This Row],[Tmedia media (°C)]]-Tabla1[[#This Row],[Tmedia media (°C) historica]])/Tabla1[[#This Row],[Tmedia media (°C) historica]]*100</f>
        <v>-6.4285714285714306</v>
      </c>
      <c r="O279" s="3">
        <f>+(Tabla1[[#This Row],[Prec acum (mm)]]-Tabla1[[#This Row],[Prec acum (mm) historica]])/Tabla1[[#This Row],[Prec acum (mm) historica]]*100</f>
        <v>47.5</v>
      </c>
    </row>
    <row r="280" spans="1:15" hidden="1" x14ac:dyDescent="0.25">
      <c r="A280">
        <v>1997</v>
      </c>
      <c r="B280" t="s">
        <v>18</v>
      </c>
      <c r="C280" t="s">
        <v>25</v>
      </c>
      <c r="D280" s="6">
        <v>20.7</v>
      </c>
      <c r="E280" s="6">
        <v>7.6</v>
      </c>
      <c r="F280" s="6">
        <v>14</v>
      </c>
      <c r="G280" s="6">
        <v>80</v>
      </c>
      <c r="H280" s="10">
        <v>19.3</v>
      </c>
      <c r="I280" s="10">
        <v>7.7</v>
      </c>
      <c r="J280" s="10">
        <v>13.5</v>
      </c>
      <c r="K280" s="10">
        <v>188</v>
      </c>
      <c r="L280" s="4">
        <f>+(Tabla1[[#This Row],[Tmax media (°C)]]-Tabla1[[#This Row],[Tmax media (°C) historica]])/Tabla1[[#This Row],[Tmax media (°C) historica]]*100</f>
        <v>-6.763285024154583</v>
      </c>
      <c r="M280" s="4">
        <f>+(Tabla1[[#This Row],[Tmin media (°C)]]-Tabla1[[#This Row],[Tmin media (°C) historica]])/Tabla1[[#This Row],[Tmin media (°C) historica]]*100</f>
        <v>1.3157894736842175</v>
      </c>
      <c r="N280" s="4">
        <f>+(Tabla1[[#This Row],[Tmedia media (°C)]]-Tabla1[[#This Row],[Tmedia media (°C) historica]])/Tabla1[[#This Row],[Tmedia media (°C) historica]]*100</f>
        <v>-3.5714285714285712</v>
      </c>
      <c r="O280" s="4">
        <f>+(Tabla1[[#This Row],[Prec acum (mm)]]-Tabla1[[#This Row],[Prec acum (mm) historica]])/Tabla1[[#This Row],[Prec acum (mm) historica]]*100</f>
        <v>135</v>
      </c>
    </row>
    <row r="281" spans="1:15" hidden="1" x14ac:dyDescent="0.25">
      <c r="A281">
        <v>2002</v>
      </c>
      <c r="B281" t="s">
        <v>18</v>
      </c>
      <c r="C281" t="s">
        <v>25</v>
      </c>
      <c r="D281" s="6">
        <v>20.7</v>
      </c>
      <c r="E281" s="6">
        <v>7.6</v>
      </c>
      <c r="F281" s="6">
        <v>14</v>
      </c>
      <c r="G281" s="6">
        <v>80</v>
      </c>
      <c r="H281" s="10">
        <v>20.9</v>
      </c>
      <c r="I281" s="10">
        <v>9.1</v>
      </c>
      <c r="J281" s="10">
        <v>15</v>
      </c>
      <c r="K281" s="10">
        <v>149</v>
      </c>
      <c r="L281" s="3">
        <f>+(Tabla1[[#This Row],[Tmax media (°C)]]-Tabla1[[#This Row],[Tmax media (°C) historica]])/Tabla1[[#This Row],[Tmax media (°C) historica]]*100</f>
        <v>0.96618357487922368</v>
      </c>
      <c r="M281" s="3">
        <f>+(Tabla1[[#This Row],[Tmin media (°C)]]-Tabla1[[#This Row],[Tmin media (°C) historica]])/Tabla1[[#This Row],[Tmin media (°C) historica]]*100</f>
        <v>19.736842105263158</v>
      </c>
      <c r="N281" s="3">
        <f>+(Tabla1[[#This Row],[Tmedia media (°C)]]-Tabla1[[#This Row],[Tmedia media (°C) historica]])/Tabla1[[#This Row],[Tmedia media (°C) historica]]*100</f>
        <v>7.1428571428571423</v>
      </c>
      <c r="O281" s="3">
        <f>+(Tabla1[[#This Row],[Prec acum (mm)]]-Tabla1[[#This Row],[Prec acum (mm) historica]])/Tabla1[[#This Row],[Prec acum (mm) historica]]*100</f>
        <v>86.25</v>
      </c>
    </row>
    <row r="282" spans="1:15" hidden="1" x14ac:dyDescent="0.25">
      <c r="A282">
        <v>2004</v>
      </c>
      <c r="B282" t="s">
        <v>18</v>
      </c>
      <c r="C282" t="s">
        <v>25</v>
      </c>
      <c r="D282" s="6">
        <v>20.7</v>
      </c>
      <c r="E282" s="6">
        <v>7.6</v>
      </c>
      <c r="F282" s="6">
        <v>14</v>
      </c>
      <c r="G282" s="6">
        <v>80</v>
      </c>
      <c r="H282" s="10">
        <v>20.399999999999999</v>
      </c>
      <c r="I282" s="10">
        <v>7.1</v>
      </c>
      <c r="J282" s="10">
        <v>13.8</v>
      </c>
      <c r="K282" s="10">
        <v>78</v>
      </c>
      <c r="L282" s="4">
        <f>+(Tabla1[[#This Row],[Tmax media (°C)]]-Tabla1[[#This Row],[Tmax media (°C) historica]])/Tabla1[[#This Row],[Tmax media (°C) historica]]*100</f>
        <v>-1.4492753623188441</v>
      </c>
      <c r="M282" s="4">
        <f>+(Tabla1[[#This Row],[Tmin media (°C)]]-Tabla1[[#This Row],[Tmin media (°C) historica]])/Tabla1[[#This Row],[Tmin media (°C) historica]]*100</f>
        <v>-6.5789473684210522</v>
      </c>
      <c r="N282" s="4">
        <f>+(Tabla1[[#This Row],[Tmedia media (°C)]]-Tabla1[[#This Row],[Tmedia media (°C) historica]])/Tabla1[[#This Row],[Tmedia media (°C) historica]]*100</f>
        <v>-1.4285714285714235</v>
      </c>
      <c r="O282" s="4">
        <f>+(Tabla1[[#This Row],[Prec acum (mm)]]-Tabla1[[#This Row],[Prec acum (mm) historica]])/Tabla1[[#This Row],[Prec acum (mm) historica]]*100</f>
        <v>-2.5</v>
      </c>
    </row>
    <row r="283" spans="1:15" hidden="1" x14ac:dyDescent="0.25">
      <c r="A283">
        <v>2015</v>
      </c>
      <c r="B283" t="s">
        <v>18</v>
      </c>
      <c r="C283" t="s">
        <v>25</v>
      </c>
      <c r="D283" s="6">
        <v>20.7</v>
      </c>
      <c r="E283" s="6">
        <v>7.6</v>
      </c>
      <c r="F283" s="6">
        <v>14</v>
      </c>
      <c r="G283" s="6">
        <v>80</v>
      </c>
      <c r="H283" s="10">
        <v>17</v>
      </c>
      <c r="I283" s="10">
        <v>5.5</v>
      </c>
      <c r="J283" s="10">
        <v>11.3</v>
      </c>
      <c r="K283" s="10">
        <v>88</v>
      </c>
      <c r="L283" s="3">
        <f>+(Tabla1[[#This Row],[Tmax media (°C)]]-Tabla1[[#This Row],[Tmax media (°C) historica]])/Tabla1[[#This Row],[Tmax media (°C) historica]]*100</f>
        <v>-17.874396135265698</v>
      </c>
      <c r="M283" s="3">
        <f>+(Tabla1[[#This Row],[Tmin media (°C)]]-Tabla1[[#This Row],[Tmin media (°C) historica]])/Tabla1[[#This Row],[Tmin media (°C) historica]]*100</f>
        <v>-27.631578947368418</v>
      </c>
      <c r="N283" s="3">
        <f>+(Tabla1[[#This Row],[Tmedia media (°C)]]-Tabla1[[#This Row],[Tmedia media (°C) historica]])/Tabla1[[#This Row],[Tmedia media (°C) historica]]*100</f>
        <v>-19.285714285714281</v>
      </c>
      <c r="O283" s="3">
        <f>+(Tabla1[[#This Row],[Prec acum (mm)]]-Tabla1[[#This Row],[Prec acum (mm) historica]])/Tabla1[[#This Row],[Prec acum (mm) historica]]*100</f>
        <v>10</v>
      </c>
    </row>
    <row r="284" spans="1:15" hidden="1" x14ac:dyDescent="0.25">
      <c r="A284">
        <v>2023</v>
      </c>
      <c r="B284" t="s">
        <v>18</v>
      </c>
      <c r="C284" t="s">
        <v>25</v>
      </c>
      <c r="D284" s="6">
        <v>20.7</v>
      </c>
      <c r="E284" s="6">
        <v>7.6</v>
      </c>
      <c r="F284" s="6">
        <v>14</v>
      </c>
      <c r="G284" s="6">
        <v>80</v>
      </c>
      <c r="H284" s="10">
        <v>21.2</v>
      </c>
      <c r="I284" s="10">
        <v>7.1</v>
      </c>
      <c r="J284" s="10">
        <v>14.2</v>
      </c>
      <c r="K284" s="10">
        <v>113</v>
      </c>
      <c r="L284" s="4">
        <f>+(Tabla1[[#This Row],[Tmax media (°C)]]-Tabla1[[#This Row],[Tmax media (°C) historica]])/Tabla1[[#This Row],[Tmax media (°C) historica]]*100</f>
        <v>2.4154589371980677</v>
      </c>
      <c r="M284" s="4">
        <f>+(Tabla1[[#This Row],[Tmin media (°C)]]-Tabla1[[#This Row],[Tmin media (°C) historica]])/Tabla1[[#This Row],[Tmin media (°C) historica]]*100</f>
        <v>-6.5789473684210522</v>
      </c>
      <c r="N284" s="4">
        <f>+(Tabla1[[#This Row],[Tmedia media (°C)]]-Tabla1[[#This Row],[Tmedia media (°C) historica]])/Tabla1[[#This Row],[Tmedia media (°C) historica]]*100</f>
        <v>1.4285714285714235</v>
      </c>
      <c r="O284" s="4">
        <f>+(Tabla1[[#This Row],[Prec acum (mm)]]-Tabla1[[#This Row],[Prec acum (mm) historica]])/Tabla1[[#This Row],[Prec acum (mm) historica]]*100</f>
        <v>41.25</v>
      </c>
    </row>
    <row r="285" spans="1:15" hidden="1" x14ac:dyDescent="0.25">
      <c r="A285">
        <v>1987</v>
      </c>
      <c r="B285" t="s">
        <v>18</v>
      </c>
      <c r="C285" t="s">
        <v>26</v>
      </c>
      <c r="D285" s="6">
        <v>24.4</v>
      </c>
      <c r="E285" s="6">
        <v>10.1</v>
      </c>
      <c r="F285" s="6">
        <v>17.2</v>
      </c>
      <c r="G285" s="6">
        <v>92</v>
      </c>
      <c r="H285" s="10">
        <v>23.3</v>
      </c>
      <c r="I285" s="10">
        <v>11.4</v>
      </c>
      <c r="J285" s="10">
        <v>17.399999999999999</v>
      </c>
      <c r="K285" s="10">
        <v>117</v>
      </c>
      <c r="L285" s="3">
        <f>+(Tabla1[[#This Row],[Tmax media (°C)]]-Tabla1[[#This Row],[Tmax media (°C) historica]])/Tabla1[[#This Row],[Tmax media (°C) historica]]*100</f>
        <v>-4.5081967213114673</v>
      </c>
      <c r="M285" s="3">
        <f>+(Tabla1[[#This Row],[Tmin media (°C)]]-Tabla1[[#This Row],[Tmin media (°C) historica]])/Tabla1[[#This Row],[Tmin media (°C) historica]]*100</f>
        <v>12.871287128712879</v>
      </c>
      <c r="N285" s="3">
        <f>+(Tabla1[[#This Row],[Tmedia media (°C)]]-Tabla1[[#This Row],[Tmedia media (°C) historica]])/Tabla1[[#This Row],[Tmedia media (°C) historica]]*100</f>
        <v>1.1627906976744147</v>
      </c>
      <c r="O285" s="3">
        <f>+(Tabla1[[#This Row],[Prec acum (mm)]]-Tabla1[[#This Row],[Prec acum (mm) historica]])/Tabla1[[#This Row],[Prec acum (mm) historica]]*100</f>
        <v>27.173913043478258</v>
      </c>
    </row>
    <row r="286" spans="1:15" hidden="1" x14ac:dyDescent="0.25">
      <c r="A286">
        <v>1991</v>
      </c>
      <c r="B286" t="s">
        <v>18</v>
      </c>
      <c r="C286" t="s">
        <v>26</v>
      </c>
      <c r="D286" s="6">
        <v>24.2</v>
      </c>
      <c r="E286" s="6">
        <v>10.199999999999999</v>
      </c>
      <c r="F286" s="6">
        <v>17</v>
      </c>
      <c r="G286" s="6">
        <v>83</v>
      </c>
      <c r="H286" s="10">
        <v>23.2</v>
      </c>
      <c r="I286" s="10">
        <v>10.199999999999999</v>
      </c>
      <c r="J286" s="10">
        <v>16.7</v>
      </c>
      <c r="K286" s="10">
        <v>110</v>
      </c>
      <c r="L286" s="4">
        <f>+(Tabla1[[#This Row],[Tmax media (°C)]]-Tabla1[[#This Row],[Tmax media (°C) historica]])/Tabla1[[#This Row],[Tmax media (°C) historica]]*100</f>
        <v>-4.1322314049586781</v>
      </c>
      <c r="M286" s="4">
        <f>+(Tabla1[[#This Row],[Tmin media (°C)]]-Tabla1[[#This Row],[Tmin media (°C) historica]])/Tabla1[[#This Row],[Tmin media (°C) historica]]*100</f>
        <v>0</v>
      </c>
      <c r="N286" s="4">
        <f>+(Tabla1[[#This Row],[Tmedia media (°C)]]-Tabla1[[#This Row],[Tmedia media (°C) historica]])/Tabla1[[#This Row],[Tmedia media (°C) historica]]*100</f>
        <v>-1.7647058823529453</v>
      </c>
      <c r="O286" s="4">
        <f>+(Tabla1[[#This Row],[Prec acum (mm)]]-Tabla1[[#This Row],[Prec acum (mm) historica]])/Tabla1[[#This Row],[Prec acum (mm) historica]]*100</f>
        <v>32.53012048192771</v>
      </c>
    </row>
    <row r="287" spans="1:15" hidden="1" x14ac:dyDescent="0.25">
      <c r="A287">
        <v>1994</v>
      </c>
      <c r="B287" t="s">
        <v>18</v>
      </c>
      <c r="C287" t="s">
        <v>26</v>
      </c>
      <c r="D287" s="6">
        <v>24.2</v>
      </c>
      <c r="E287" s="6">
        <v>10.199999999999999</v>
      </c>
      <c r="F287" s="6">
        <v>17</v>
      </c>
      <c r="G287" s="6">
        <v>83</v>
      </c>
      <c r="H287" s="10">
        <v>25</v>
      </c>
      <c r="I287" s="10">
        <v>10.3</v>
      </c>
      <c r="J287" s="10">
        <v>17.7</v>
      </c>
      <c r="K287" s="10">
        <v>41</v>
      </c>
      <c r="L287" s="3">
        <f>+(Tabla1[[#This Row],[Tmax media (°C)]]-Tabla1[[#This Row],[Tmax media (°C) historica]])/Tabla1[[#This Row],[Tmax media (°C) historica]]*100</f>
        <v>3.3057851239669449</v>
      </c>
      <c r="M287" s="3">
        <f>+(Tabla1[[#This Row],[Tmin media (°C)]]-Tabla1[[#This Row],[Tmin media (°C) historica]])/Tabla1[[#This Row],[Tmin media (°C) historica]]*100</f>
        <v>0.98039215686275916</v>
      </c>
      <c r="N287" s="3">
        <f>+(Tabla1[[#This Row],[Tmedia media (°C)]]-Tabla1[[#This Row],[Tmedia media (°C) historica]])/Tabla1[[#This Row],[Tmedia media (°C) historica]]*100</f>
        <v>4.1176470588235254</v>
      </c>
      <c r="O287" s="3">
        <f>+(Tabla1[[#This Row],[Prec acum (mm)]]-Tabla1[[#This Row],[Prec acum (mm) historica]])/Tabla1[[#This Row],[Prec acum (mm) historica]]*100</f>
        <v>-50.602409638554214</v>
      </c>
    </row>
    <row r="288" spans="1:15" hidden="1" x14ac:dyDescent="0.25">
      <c r="A288">
        <v>1997</v>
      </c>
      <c r="B288" t="s">
        <v>18</v>
      </c>
      <c r="C288" t="s">
        <v>26</v>
      </c>
      <c r="D288" s="6">
        <v>24.2</v>
      </c>
      <c r="E288" s="6">
        <v>10.199999999999999</v>
      </c>
      <c r="F288" s="6">
        <v>17</v>
      </c>
      <c r="G288" s="6">
        <v>83</v>
      </c>
      <c r="H288" s="10">
        <v>22.4</v>
      </c>
      <c r="I288" s="10">
        <v>10.199999999999999</v>
      </c>
      <c r="J288" s="10">
        <v>16.3</v>
      </c>
      <c r="K288" s="10">
        <v>71</v>
      </c>
      <c r="L288" s="4">
        <f>+(Tabla1[[#This Row],[Tmax media (°C)]]-Tabla1[[#This Row],[Tmax media (°C) historica]])/Tabla1[[#This Row],[Tmax media (°C) historica]]*100</f>
        <v>-7.4380165289256226</v>
      </c>
      <c r="M288" s="4">
        <f>+(Tabla1[[#This Row],[Tmin media (°C)]]-Tabla1[[#This Row],[Tmin media (°C) historica]])/Tabla1[[#This Row],[Tmin media (°C) historica]]*100</f>
        <v>0</v>
      </c>
      <c r="N288" s="4">
        <f>+(Tabla1[[#This Row],[Tmedia media (°C)]]-Tabla1[[#This Row],[Tmedia media (°C) historica]])/Tabla1[[#This Row],[Tmedia media (°C) historica]]*100</f>
        <v>-4.1176470588235254</v>
      </c>
      <c r="O288" s="4">
        <f>+(Tabla1[[#This Row],[Prec acum (mm)]]-Tabla1[[#This Row],[Prec acum (mm) historica]])/Tabla1[[#This Row],[Prec acum (mm) historica]]*100</f>
        <v>-14.457831325301203</v>
      </c>
    </row>
    <row r="289" spans="1:15" hidden="1" x14ac:dyDescent="0.25">
      <c r="A289">
        <v>2002</v>
      </c>
      <c r="B289" t="s">
        <v>18</v>
      </c>
      <c r="C289" t="s">
        <v>26</v>
      </c>
      <c r="D289" s="6">
        <v>24.2</v>
      </c>
      <c r="E289" s="6">
        <v>10.199999999999999</v>
      </c>
      <c r="F289" s="6">
        <v>17</v>
      </c>
      <c r="G289" s="6">
        <v>83</v>
      </c>
      <c r="H289" s="10">
        <v>22.8</v>
      </c>
      <c r="I289" s="10">
        <v>11</v>
      </c>
      <c r="J289" s="10">
        <v>16.899999999999999</v>
      </c>
      <c r="K289" s="10">
        <v>140</v>
      </c>
      <c r="L289" s="3">
        <f>+(Tabla1[[#This Row],[Tmax media (°C)]]-Tabla1[[#This Row],[Tmax media (°C) historica]])/Tabla1[[#This Row],[Tmax media (°C) historica]]*100</f>
        <v>-5.7851239669421437</v>
      </c>
      <c r="M289" s="3">
        <f>+(Tabla1[[#This Row],[Tmin media (°C)]]-Tabla1[[#This Row],[Tmin media (°C) historica]])/Tabla1[[#This Row],[Tmin media (°C) historica]]*100</f>
        <v>7.8431372549019676</v>
      </c>
      <c r="N289" s="3">
        <f>+(Tabla1[[#This Row],[Tmedia media (°C)]]-Tabla1[[#This Row],[Tmedia media (°C) historica]])/Tabla1[[#This Row],[Tmedia media (°C) historica]]*100</f>
        <v>-0.58823529411765541</v>
      </c>
      <c r="O289" s="3">
        <f>+(Tabla1[[#This Row],[Prec acum (mm)]]-Tabla1[[#This Row],[Prec acum (mm) historica]])/Tabla1[[#This Row],[Prec acum (mm) historica]]*100</f>
        <v>68.674698795180717</v>
      </c>
    </row>
    <row r="290" spans="1:15" hidden="1" x14ac:dyDescent="0.25">
      <c r="A290">
        <v>2004</v>
      </c>
      <c r="B290" t="s">
        <v>18</v>
      </c>
      <c r="C290" t="s">
        <v>26</v>
      </c>
      <c r="D290" s="6">
        <v>24.2</v>
      </c>
      <c r="E290" s="6">
        <v>10.199999999999999</v>
      </c>
      <c r="F290" s="6">
        <v>17</v>
      </c>
      <c r="G290" s="6">
        <v>83</v>
      </c>
      <c r="H290" s="10">
        <v>22.7</v>
      </c>
      <c r="I290" s="10">
        <v>10.8</v>
      </c>
      <c r="J290" s="10">
        <v>16.7</v>
      </c>
      <c r="K290" s="10">
        <v>72</v>
      </c>
      <c r="L290" s="4">
        <f>+(Tabla1[[#This Row],[Tmax media (°C)]]-Tabla1[[#This Row],[Tmax media (°C) historica]])/Tabla1[[#This Row],[Tmax media (°C) historica]]*100</f>
        <v>-6.1983471074380168</v>
      </c>
      <c r="M290" s="4">
        <f>+(Tabla1[[#This Row],[Tmin media (°C)]]-Tabla1[[#This Row],[Tmin media (°C) historica]])/Tabla1[[#This Row],[Tmin media (°C) historica]]*100</f>
        <v>5.8823529411764852</v>
      </c>
      <c r="N290" s="4">
        <f>+(Tabla1[[#This Row],[Tmedia media (°C)]]-Tabla1[[#This Row],[Tmedia media (°C) historica]])/Tabla1[[#This Row],[Tmedia media (°C) historica]]*100</f>
        <v>-1.7647058823529453</v>
      </c>
      <c r="O290" s="4">
        <f>+(Tabla1[[#This Row],[Prec acum (mm)]]-Tabla1[[#This Row],[Prec acum (mm) historica]])/Tabla1[[#This Row],[Prec acum (mm) historica]]*100</f>
        <v>-13.253012048192772</v>
      </c>
    </row>
    <row r="291" spans="1:15" hidden="1" x14ac:dyDescent="0.25">
      <c r="A291">
        <v>2015</v>
      </c>
      <c r="B291" t="s">
        <v>18</v>
      </c>
      <c r="C291" t="s">
        <v>26</v>
      </c>
      <c r="D291" s="6">
        <v>24.2</v>
      </c>
      <c r="E291" s="6">
        <v>10.199999999999999</v>
      </c>
      <c r="F291" s="6">
        <v>17</v>
      </c>
      <c r="G291" s="6">
        <v>83</v>
      </c>
      <c r="H291" s="10">
        <v>23.8</v>
      </c>
      <c r="I291" s="10">
        <v>9.6999999999999993</v>
      </c>
      <c r="J291" s="10">
        <v>16.7</v>
      </c>
      <c r="K291" s="10">
        <v>35</v>
      </c>
      <c r="L291" s="3">
        <f>+(Tabla1[[#This Row],[Tmax media (°C)]]-Tabla1[[#This Row],[Tmax media (°C) historica]])/Tabla1[[#This Row],[Tmax media (°C) historica]]*100</f>
        <v>-1.6528925619834651</v>
      </c>
      <c r="M291" s="3">
        <f>+(Tabla1[[#This Row],[Tmin media (°C)]]-Tabla1[[#This Row],[Tmin media (°C) historica]])/Tabla1[[#This Row],[Tmin media (°C) historica]]*100</f>
        <v>-4.9019607843137258</v>
      </c>
      <c r="N291" s="3">
        <f>+(Tabla1[[#This Row],[Tmedia media (°C)]]-Tabla1[[#This Row],[Tmedia media (°C) historica]])/Tabla1[[#This Row],[Tmedia media (°C) historica]]*100</f>
        <v>-1.7647058823529453</v>
      </c>
      <c r="O291" s="3">
        <f>+(Tabla1[[#This Row],[Prec acum (mm)]]-Tabla1[[#This Row],[Prec acum (mm) historica]])/Tabla1[[#This Row],[Prec acum (mm) historica]]*100</f>
        <v>-57.831325301204814</v>
      </c>
    </row>
    <row r="292" spans="1:15" hidden="1" x14ac:dyDescent="0.25">
      <c r="A292">
        <v>2023</v>
      </c>
      <c r="B292" t="s">
        <v>18</v>
      </c>
      <c r="C292" t="s">
        <v>26</v>
      </c>
      <c r="D292" s="6">
        <v>24.2</v>
      </c>
      <c r="E292" s="6">
        <v>10.199999999999999</v>
      </c>
      <c r="F292" s="6">
        <v>17</v>
      </c>
      <c r="G292" s="6">
        <v>83</v>
      </c>
      <c r="H292" s="10">
        <v>24.2</v>
      </c>
      <c r="I292" s="10">
        <v>9.1</v>
      </c>
      <c r="J292" s="10">
        <v>16.7</v>
      </c>
      <c r="K292" s="10">
        <v>147</v>
      </c>
      <c r="L292" s="4">
        <f>+(Tabla1[[#This Row],[Tmax media (°C)]]-Tabla1[[#This Row],[Tmax media (°C) historica]])/Tabla1[[#This Row],[Tmax media (°C) historica]]*100</f>
        <v>0</v>
      </c>
      <c r="M292" s="4">
        <f>+(Tabla1[[#This Row],[Tmin media (°C)]]-Tabla1[[#This Row],[Tmin media (°C) historica]])/Tabla1[[#This Row],[Tmin media (°C) historica]]*100</f>
        <v>-10.784313725490193</v>
      </c>
      <c r="N292" s="4">
        <f>+(Tabla1[[#This Row],[Tmedia media (°C)]]-Tabla1[[#This Row],[Tmedia media (°C) historica]])/Tabla1[[#This Row],[Tmedia media (°C) historica]]*100</f>
        <v>-1.7647058823529453</v>
      </c>
      <c r="O292" s="4">
        <f>+(Tabla1[[#This Row],[Prec acum (mm)]]-Tabla1[[#This Row],[Prec acum (mm) historica]])/Tabla1[[#This Row],[Prec acum (mm) historica]]*100</f>
        <v>77.108433734939766</v>
      </c>
    </row>
    <row r="293" spans="1:15" hidden="1" x14ac:dyDescent="0.25">
      <c r="A293">
        <v>1987</v>
      </c>
      <c r="B293" t="s">
        <v>18</v>
      </c>
      <c r="C293" t="s">
        <v>27</v>
      </c>
      <c r="D293" s="6">
        <v>26.8</v>
      </c>
      <c r="E293" s="6">
        <v>11.9</v>
      </c>
      <c r="F293" s="6">
        <v>19.2</v>
      </c>
      <c r="G293" s="6">
        <v>68</v>
      </c>
      <c r="H293" s="10">
        <v>25.7</v>
      </c>
      <c r="I293" s="10">
        <v>11.4</v>
      </c>
      <c r="J293" s="10">
        <v>18.600000000000001</v>
      </c>
      <c r="K293" s="10">
        <v>68</v>
      </c>
      <c r="L293" s="3">
        <f>+(Tabla1[[#This Row],[Tmax media (°C)]]-Tabla1[[#This Row],[Tmax media (°C) historica]])/Tabla1[[#This Row],[Tmax media (°C) historica]]*100</f>
        <v>-4.104477611940303</v>
      </c>
      <c r="M293" s="3">
        <f>+(Tabla1[[#This Row],[Tmin media (°C)]]-Tabla1[[#This Row],[Tmin media (°C) historica]])/Tabla1[[#This Row],[Tmin media (°C) historica]]*100</f>
        <v>-4.2016806722689068</v>
      </c>
      <c r="N293" s="3">
        <f>+(Tabla1[[#This Row],[Tmedia media (°C)]]-Tabla1[[#This Row],[Tmedia media (°C) historica]])/Tabla1[[#This Row],[Tmedia media (°C) historica]]*100</f>
        <v>-3.1249999999999889</v>
      </c>
      <c r="O293" s="3">
        <f>+(Tabla1[[#This Row],[Prec acum (mm)]]-Tabla1[[#This Row],[Prec acum (mm) historica]])/Tabla1[[#This Row],[Prec acum (mm) historica]]*100</f>
        <v>0</v>
      </c>
    </row>
    <row r="294" spans="1:15" hidden="1" x14ac:dyDescent="0.25">
      <c r="A294">
        <v>1991</v>
      </c>
      <c r="B294" t="s">
        <v>18</v>
      </c>
      <c r="C294" t="s">
        <v>27</v>
      </c>
      <c r="D294" s="6">
        <v>27.7</v>
      </c>
      <c r="E294" s="6">
        <v>12.4</v>
      </c>
      <c r="F294" s="6">
        <v>20.2</v>
      </c>
      <c r="G294" s="6">
        <v>59</v>
      </c>
      <c r="H294" s="10">
        <v>25.2</v>
      </c>
      <c r="I294" s="10">
        <v>12.7</v>
      </c>
      <c r="J294" s="10">
        <v>18.899999999999999</v>
      </c>
      <c r="K294" s="10">
        <v>185</v>
      </c>
      <c r="L294" s="4">
        <f>+(Tabla1[[#This Row],[Tmax media (°C)]]-Tabla1[[#This Row],[Tmax media (°C) historica]])/Tabla1[[#This Row],[Tmax media (°C) historica]]*100</f>
        <v>-9.025270758122744</v>
      </c>
      <c r="M294" s="4">
        <f>+(Tabla1[[#This Row],[Tmin media (°C)]]-Tabla1[[#This Row],[Tmin media (°C) historica]])/Tabla1[[#This Row],[Tmin media (°C) historica]]*100</f>
        <v>2.4193548387096686</v>
      </c>
      <c r="N294" s="4">
        <f>+(Tabla1[[#This Row],[Tmedia media (°C)]]-Tabla1[[#This Row],[Tmedia media (°C) historica]])/Tabla1[[#This Row],[Tmedia media (°C) historica]]*100</f>
        <v>-6.4356435643564396</v>
      </c>
      <c r="O294" s="4">
        <f>+(Tabla1[[#This Row],[Prec acum (mm)]]-Tabla1[[#This Row],[Prec acum (mm) historica]])/Tabla1[[#This Row],[Prec acum (mm) historica]]*100</f>
        <v>213.55932203389833</v>
      </c>
    </row>
    <row r="295" spans="1:15" hidden="1" x14ac:dyDescent="0.25">
      <c r="A295">
        <v>1994</v>
      </c>
      <c r="B295" t="s">
        <v>18</v>
      </c>
      <c r="C295" t="s">
        <v>27</v>
      </c>
      <c r="D295" s="6">
        <v>27.7</v>
      </c>
      <c r="E295" s="6">
        <v>12.4</v>
      </c>
      <c r="F295" s="6">
        <v>20.2</v>
      </c>
      <c r="G295" s="6">
        <v>59</v>
      </c>
      <c r="H295" s="10">
        <v>28.7</v>
      </c>
      <c r="I295" s="10">
        <v>15.1</v>
      </c>
      <c r="J295" s="10">
        <v>21.9</v>
      </c>
      <c r="K295" s="10">
        <v>150</v>
      </c>
      <c r="L295" s="3">
        <f>+(Tabla1[[#This Row],[Tmax media (°C)]]-Tabla1[[#This Row],[Tmax media (°C) historica]])/Tabla1[[#This Row],[Tmax media (°C) historica]]*100</f>
        <v>3.6101083032490973</v>
      </c>
      <c r="M295" s="3">
        <f>+(Tabla1[[#This Row],[Tmin media (°C)]]-Tabla1[[#This Row],[Tmin media (°C) historica]])/Tabla1[[#This Row],[Tmin media (°C) historica]]*100</f>
        <v>21.774193548387093</v>
      </c>
      <c r="N295" s="3">
        <f>+(Tabla1[[#This Row],[Tmedia media (°C)]]-Tabla1[[#This Row],[Tmedia media (°C) historica]])/Tabla1[[#This Row],[Tmedia media (°C) historica]]*100</f>
        <v>8.4158415841584127</v>
      </c>
      <c r="O295" s="3">
        <f>+(Tabla1[[#This Row],[Prec acum (mm)]]-Tabla1[[#This Row],[Prec acum (mm) historica]])/Tabla1[[#This Row],[Prec acum (mm) historica]]*100</f>
        <v>154.23728813559322</v>
      </c>
    </row>
    <row r="296" spans="1:15" hidden="1" x14ac:dyDescent="0.25">
      <c r="A296">
        <v>1997</v>
      </c>
      <c r="B296" t="s">
        <v>18</v>
      </c>
      <c r="C296" t="s">
        <v>27</v>
      </c>
      <c r="D296" s="6">
        <v>27.7</v>
      </c>
      <c r="E296" s="6">
        <v>12.4</v>
      </c>
      <c r="F296" s="6">
        <v>20.2</v>
      </c>
      <c r="G296" s="6">
        <v>59</v>
      </c>
      <c r="H296" s="10">
        <v>24.9</v>
      </c>
      <c r="I296" s="10">
        <v>11</v>
      </c>
      <c r="J296" s="10">
        <v>17.899999999999999</v>
      </c>
      <c r="K296" s="10">
        <v>66</v>
      </c>
      <c r="L296" s="4">
        <f>+(Tabla1[[#This Row],[Tmax media (°C)]]-Tabla1[[#This Row],[Tmax media (°C) historica]])/Tabla1[[#This Row],[Tmax media (°C) historica]]*100</f>
        <v>-10.108303249097476</v>
      </c>
      <c r="M296" s="4">
        <f>+(Tabla1[[#This Row],[Tmin media (°C)]]-Tabla1[[#This Row],[Tmin media (°C) historica]])/Tabla1[[#This Row],[Tmin media (°C) historica]]*100</f>
        <v>-11.290322580645164</v>
      </c>
      <c r="N296" s="4">
        <f>+(Tabla1[[#This Row],[Tmedia media (°C)]]-Tabla1[[#This Row],[Tmedia media (°C) historica]])/Tabla1[[#This Row],[Tmedia media (°C) historica]]*100</f>
        <v>-11.386138613861391</v>
      </c>
      <c r="O296" s="4">
        <f>+(Tabla1[[#This Row],[Prec acum (mm)]]-Tabla1[[#This Row],[Prec acum (mm) historica]])/Tabla1[[#This Row],[Prec acum (mm) historica]]*100</f>
        <v>11.864406779661017</v>
      </c>
    </row>
    <row r="297" spans="1:15" hidden="1" x14ac:dyDescent="0.25">
      <c r="A297">
        <v>2002</v>
      </c>
      <c r="B297" t="s">
        <v>18</v>
      </c>
      <c r="C297" t="s">
        <v>27</v>
      </c>
      <c r="D297" s="6">
        <v>27.7</v>
      </c>
      <c r="E297" s="6">
        <v>12.4</v>
      </c>
      <c r="F297" s="6">
        <v>20.2</v>
      </c>
      <c r="G297" s="6">
        <v>59</v>
      </c>
      <c r="H297" s="10">
        <v>26.1</v>
      </c>
      <c r="I297" s="10">
        <v>12.7</v>
      </c>
      <c r="J297" s="10">
        <v>19.399999999999999</v>
      </c>
      <c r="K297" s="10">
        <v>56</v>
      </c>
      <c r="L297" s="3">
        <f>+(Tabla1[[#This Row],[Tmax media (°C)]]-Tabla1[[#This Row],[Tmax media (°C) historica]])/Tabla1[[#This Row],[Tmax media (°C) historica]]*100</f>
        <v>-5.7761732851985483</v>
      </c>
      <c r="M297" s="3">
        <f>+(Tabla1[[#This Row],[Tmin media (°C)]]-Tabla1[[#This Row],[Tmin media (°C) historica]])/Tabla1[[#This Row],[Tmin media (°C) historica]]*100</f>
        <v>2.4193548387096686</v>
      </c>
      <c r="N297" s="3">
        <f>+(Tabla1[[#This Row],[Tmedia media (°C)]]-Tabla1[[#This Row],[Tmedia media (°C) historica]])/Tabla1[[#This Row],[Tmedia media (°C) historica]]*100</f>
        <v>-3.9603960396039639</v>
      </c>
      <c r="O297" s="3">
        <f>+(Tabla1[[#This Row],[Prec acum (mm)]]-Tabla1[[#This Row],[Prec acum (mm) historica]])/Tabla1[[#This Row],[Prec acum (mm) historica]]*100</f>
        <v>-5.0847457627118651</v>
      </c>
    </row>
    <row r="298" spans="1:15" hidden="1" x14ac:dyDescent="0.25">
      <c r="A298">
        <v>2004</v>
      </c>
      <c r="B298" t="s">
        <v>18</v>
      </c>
      <c r="C298" t="s">
        <v>27</v>
      </c>
      <c r="D298" s="6">
        <v>27.7</v>
      </c>
      <c r="E298" s="6">
        <v>12.4</v>
      </c>
      <c r="F298" s="6">
        <v>20.2</v>
      </c>
      <c r="G298" s="6">
        <v>59</v>
      </c>
      <c r="H298" s="10">
        <v>26.9</v>
      </c>
      <c r="I298" s="10">
        <v>13.9</v>
      </c>
      <c r="J298" s="10">
        <v>20.399999999999999</v>
      </c>
      <c r="K298" s="10">
        <v>110</v>
      </c>
      <c r="L298" s="4">
        <f>+(Tabla1[[#This Row],[Tmax media (°C)]]-Tabla1[[#This Row],[Tmax media (°C) historica]])/Tabla1[[#This Row],[Tmax media (°C) historica]]*100</f>
        <v>-2.8880866425992804</v>
      </c>
      <c r="M298" s="4">
        <f>+(Tabla1[[#This Row],[Tmin media (°C)]]-Tabla1[[#This Row],[Tmin media (°C) historica]])/Tabla1[[#This Row],[Tmin media (°C) historica]]*100</f>
        <v>12.096774193548386</v>
      </c>
      <c r="N298" s="4">
        <f>+(Tabla1[[#This Row],[Tmedia media (°C)]]-Tabla1[[#This Row],[Tmedia media (°C) historica]])/Tabla1[[#This Row],[Tmedia media (°C) historica]]*100</f>
        <v>0.99009900990098665</v>
      </c>
      <c r="O298" s="4">
        <f>+(Tabla1[[#This Row],[Prec acum (mm)]]-Tabla1[[#This Row],[Prec acum (mm) historica]])/Tabla1[[#This Row],[Prec acum (mm) historica]]*100</f>
        <v>86.440677966101703</v>
      </c>
    </row>
    <row r="299" spans="1:15" hidden="1" x14ac:dyDescent="0.25">
      <c r="A299">
        <v>2015</v>
      </c>
      <c r="B299" t="s">
        <v>18</v>
      </c>
      <c r="C299" t="s">
        <v>27</v>
      </c>
      <c r="D299" s="6">
        <v>27.7</v>
      </c>
      <c r="E299" s="6">
        <v>12.4</v>
      </c>
      <c r="F299" s="6">
        <v>20.2</v>
      </c>
      <c r="G299" s="6">
        <v>59</v>
      </c>
      <c r="H299" s="10">
        <v>28.5</v>
      </c>
      <c r="I299" s="10">
        <v>13.3</v>
      </c>
      <c r="J299" s="10">
        <v>20.9</v>
      </c>
      <c r="K299" s="10">
        <v>52</v>
      </c>
      <c r="L299" s="3">
        <f>+(Tabla1[[#This Row],[Tmax media (°C)]]-Tabla1[[#This Row],[Tmax media (°C) historica]])/Tabla1[[#This Row],[Tmax media (°C) historica]]*100</f>
        <v>2.8880866425992804</v>
      </c>
      <c r="M299" s="3">
        <f>+(Tabla1[[#This Row],[Tmin media (°C)]]-Tabla1[[#This Row],[Tmin media (°C) historica]])/Tabla1[[#This Row],[Tmin media (°C) historica]]*100</f>
        <v>7.2580645161290356</v>
      </c>
      <c r="N299" s="3">
        <f>+(Tabla1[[#This Row],[Tmedia media (°C)]]-Tabla1[[#This Row],[Tmedia media (°C) historica]])/Tabla1[[#This Row],[Tmedia media (°C) historica]]*100</f>
        <v>3.4653465346534622</v>
      </c>
      <c r="O299" s="3">
        <f>+(Tabla1[[#This Row],[Prec acum (mm)]]-Tabla1[[#This Row],[Prec acum (mm) historica]])/Tabla1[[#This Row],[Prec acum (mm) historica]]*100</f>
        <v>-11.864406779661017</v>
      </c>
    </row>
    <row r="300" spans="1:15" hidden="1" x14ac:dyDescent="0.25">
      <c r="A300">
        <v>2023</v>
      </c>
      <c r="B300" t="s">
        <v>18</v>
      </c>
      <c r="C300" t="s">
        <v>27</v>
      </c>
      <c r="D300" s="6">
        <v>27.7</v>
      </c>
      <c r="E300" s="6">
        <v>12.4</v>
      </c>
      <c r="F300" s="6">
        <v>20.2</v>
      </c>
      <c r="G300" s="6">
        <v>59</v>
      </c>
      <c r="H300" s="10">
        <v>25.9</v>
      </c>
      <c r="I300" s="10">
        <v>13</v>
      </c>
      <c r="J300" s="10">
        <v>19.5</v>
      </c>
      <c r="K300" s="10">
        <v>280</v>
      </c>
      <c r="L300" s="4">
        <f>+(Tabla1[[#This Row],[Tmax media (°C)]]-Tabla1[[#This Row],[Tmax media (°C) historica]])/Tabla1[[#This Row],[Tmax media (°C) historica]]*100</f>
        <v>-6.4981949458483772</v>
      </c>
      <c r="M300" s="4">
        <f>+(Tabla1[[#This Row],[Tmin media (°C)]]-Tabla1[[#This Row],[Tmin media (°C) historica]])/Tabla1[[#This Row],[Tmin media (°C) historica]]*100</f>
        <v>4.8387096774193523</v>
      </c>
      <c r="N300" s="4">
        <f>+(Tabla1[[#This Row],[Tmedia media (°C)]]-Tabla1[[#This Row],[Tmedia media (°C) historica]])/Tabla1[[#This Row],[Tmedia media (°C) historica]]*100</f>
        <v>-3.4653465346534622</v>
      </c>
      <c r="O300" s="4">
        <f>+(Tabla1[[#This Row],[Prec acum (mm)]]-Tabla1[[#This Row],[Prec acum (mm) historica]])/Tabla1[[#This Row],[Prec acum (mm) historica]]*100</f>
        <v>374.57627118644064</v>
      </c>
    </row>
    <row r="301" spans="1:15" hidden="1" x14ac:dyDescent="0.25">
      <c r="A301">
        <v>1987</v>
      </c>
      <c r="B301" t="s">
        <v>18</v>
      </c>
      <c r="C301" t="s">
        <v>28</v>
      </c>
      <c r="D301" s="6">
        <v>28.5</v>
      </c>
      <c r="E301" s="6">
        <v>13.7</v>
      </c>
      <c r="F301" s="6">
        <v>21.1</v>
      </c>
      <c r="G301" s="6">
        <v>120</v>
      </c>
      <c r="H301" s="10">
        <v>28.5</v>
      </c>
      <c r="I301" s="10">
        <v>12.5</v>
      </c>
      <c r="J301" s="10">
        <v>20.5</v>
      </c>
      <c r="K301" s="10">
        <v>114</v>
      </c>
      <c r="L301" s="3">
        <f>+(Tabla1[[#This Row],[Tmax media (°C)]]-Tabla1[[#This Row],[Tmax media (°C) historica]])/Tabla1[[#This Row],[Tmax media (°C) historica]]*100</f>
        <v>0</v>
      </c>
      <c r="M301" s="3">
        <f>+(Tabla1[[#This Row],[Tmin media (°C)]]-Tabla1[[#This Row],[Tmin media (°C) historica]])/Tabla1[[#This Row],[Tmin media (°C) historica]]*100</f>
        <v>-8.7591240875912355</v>
      </c>
      <c r="N301" s="3">
        <f>+(Tabla1[[#This Row],[Tmedia media (°C)]]-Tabla1[[#This Row],[Tmedia media (°C) historica]])/Tabla1[[#This Row],[Tmedia media (°C) historica]]*100</f>
        <v>-2.8436018957346034</v>
      </c>
      <c r="O301" s="3">
        <f>+(Tabla1[[#This Row],[Prec acum (mm)]]-Tabla1[[#This Row],[Prec acum (mm) historica]])/Tabla1[[#This Row],[Prec acum (mm) historica]]*100</f>
        <v>-5</v>
      </c>
    </row>
    <row r="302" spans="1:15" hidden="1" x14ac:dyDescent="0.25">
      <c r="A302">
        <v>1991</v>
      </c>
      <c r="B302" t="s">
        <v>18</v>
      </c>
      <c r="C302" t="s">
        <v>28</v>
      </c>
      <c r="D302" s="6">
        <v>28.8</v>
      </c>
      <c r="E302" s="6">
        <v>14.4</v>
      </c>
      <c r="F302" s="6">
        <v>21.7</v>
      </c>
      <c r="G302" s="6">
        <v>92</v>
      </c>
      <c r="H302" s="10">
        <v>27.9</v>
      </c>
      <c r="I302" s="10">
        <v>15</v>
      </c>
      <c r="J302" s="10">
        <v>21.4</v>
      </c>
      <c r="K302" s="10">
        <v>211</v>
      </c>
      <c r="L302" s="4">
        <f>+(Tabla1[[#This Row],[Tmax media (°C)]]-Tabla1[[#This Row],[Tmax media (°C) historica]])/Tabla1[[#This Row],[Tmax media (°C) historica]]*100</f>
        <v>-3.1250000000000075</v>
      </c>
      <c r="M302" s="4">
        <f>+(Tabla1[[#This Row],[Tmin media (°C)]]-Tabla1[[#This Row],[Tmin media (°C) historica]])/Tabla1[[#This Row],[Tmin media (°C) historica]]*100</f>
        <v>4.1666666666666643</v>
      </c>
      <c r="N302" s="4">
        <f>+(Tabla1[[#This Row],[Tmedia media (°C)]]-Tabla1[[#This Row],[Tmedia media (°C) historica]])/Tabla1[[#This Row],[Tmedia media (°C) historica]]*100</f>
        <v>-1.3824884792626762</v>
      </c>
      <c r="O302" s="4">
        <f>+(Tabla1[[#This Row],[Prec acum (mm)]]-Tabla1[[#This Row],[Prec acum (mm) historica]])/Tabla1[[#This Row],[Prec acum (mm) historica]]*100</f>
        <v>129.34782608695653</v>
      </c>
    </row>
    <row r="303" spans="1:15" hidden="1" x14ac:dyDescent="0.25">
      <c r="A303">
        <v>1994</v>
      </c>
      <c r="B303" t="s">
        <v>18</v>
      </c>
      <c r="C303" t="s">
        <v>28</v>
      </c>
      <c r="D303" s="6">
        <v>28.8</v>
      </c>
      <c r="E303" s="6">
        <v>14.4</v>
      </c>
      <c r="F303" s="6">
        <v>21.7</v>
      </c>
      <c r="G303" s="6">
        <v>92</v>
      </c>
      <c r="H303" s="10">
        <v>28.1</v>
      </c>
      <c r="I303" s="10">
        <v>12.4</v>
      </c>
      <c r="J303" s="10">
        <v>20.2</v>
      </c>
      <c r="K303" s="10">
        <v>57</v>
      </c>
      <c r="L303" s="3">
        <f>+(Tabla1[[#This Row],[Tmax media (°C)]]-Tabla1[[#This Row],[Tmax media (°C) historica]])/Tabla1[[#This Row],[Tmax media (°C) historica]]*100</f>
        <v>-2.4305555555555531</v>
      </c>
      <c r="M303" s="3">
        <f>+(Tabla1[[#This Row],[Tmin media (°C)]]-Tabla1[[#This Row],[Tmin media (°C) historica]])/Tabla1[[#This Row],[Tmin media (°C) historica]]*100</f>
        <v>-13.888888888888889</v>
      </c>
      <c r="N303" s="3">
        <f>+(Tabla1[[#This Row],[Tmedia media (°C)]]-Tabla1[[#This Row],[Tmedia media (°C) historica]])/Tabla1[[#This Row],[Tmedia media (°C) historica]]*100</f>
        <v>-6.9124423963133648</v>
      </c>
      <c r="O303" s="3">
        <f>+(Tabla1[[#This Row],[Prec acum (mm)]]-Tabla1[[#This Row],[Prec acum (mm) historica]])/Tabla1[[#This Row],[Prec acum (mm) historica]]*100</f>
        <v>-38.04347826086957</v>
      </c>
    </row>
    <row r="304" spans="1:15" hidden="1" x14ac:dyDescent="0.25">
      <c r="A304">
        <v>1997</v>
      </c>
      <c r="B304" t="s">
        <v>18</v>
      </c>
      <c r="C304" t="s">
        <v>28</v>
      </c>
      <c r="D304" s="6">
        <v>28.8</v>
      </c>
      <c r="E304" s="6">
        <v>14.4</v>
      </c>
      <c r="F304" s="6">
        <v>21.7</v>
      </c>
      <c r="G304" s="6">
        <v>92</v>
      </c>
      <c r="H304" s="10">
        <v>26.9</v>
      </c>
      <c r="I304" s="10">
        <v>12.6</v>
      </c>
      <c r="J304" s="10">
        <v>19.8</v>
      </c>
      <c r="K304" s="10">
        <v>243</v>
      </c>
      <c r="L304" s="4">
        <f>+(Tabla1[[#This Row],[Tmax media (°C)]]-Tabla1[[#This Row],[Tmax media (°C) historica]])/Tabla1[[#This Row],[Tmax media (°C) historica]]*100</f>
        <v>-6.5972222222222294</v>
      </c>
      <c r="M304" s="4">
        <f>+(Tabla1[[#This Row],[Tmin media (°C)]]-Tabla1[[#This Row],[Tmin media (°C) historica]])/Tabla1[[#This Row],[Tmin media (°C) historica]]*100</f>
        <v>-12.500000000000005</v>
      </c>
      <c r="N304" s="4">
        <f>+(Tabla1[[#This Row],[Tmedia media (°C)]]-Tabla1[[#This Row],[Tmedia media (°C) historica]])/Tabla1[[#This Row],[Tmedia media (°C) historica]]*100</f>
        <v>-8.755760368663589</v>
      </c>
      <c r="O304" s="4">
        <f>+(Tabla1[[#This Row],[Prec acum (mm)]]-Tabla1[[#This Row],[Prec acum (mm) historica]])/Tabla1[[#This Row],[Prec acum (mm) historica]]*100</f>
        <v>164.13043478260869</v>
      </c>
    </row>
    <row r="305" spans="1:15" hidden="1" x14ac:dyDescent="0.25">
      <c r="A305">
        <v>2002</v>
      </c>
      <c r="B305" t="s">
        <v>18</v>
      </c>
      <c r="C305" t="s">
        <v>28</v>
      </c>
      <c r="D305" s="6">
        <v>28.8</v>
      </c>
      <c r="E305" s="6">
        <v>14.4</v>
      </c>
      <c r="F305" s="6">
        <v>21.7</v>
      </c>
      <c r="G305" s="6">
        <v>92</v>
      </c>
      <c r="H305" s="10">
        <v>30.4</v>
      </c>
      <c r="I305" s="10">
        <v>14.1</v>
      </c>
      <c r="J305" s="10">
        <v>22.3</v>
      </c>
      <c r="K305" s="10">
        <v>60</v>
      </c>
      <c r="L305" s="3">
        <f>+(Tabla1[[#This Row],[Tmax media (°C)]]-Tabla1[[#This Row],[Tmax media (°C) historica]])/Tabla1[[#This Row],[Tmax media (°C) historica]]*100</f>
        <v>5.5555555555555483</v>
      </c>
      <c r="M305" s="3">
        <f>+(Tabla1[[#This Row],[Tmin media (°C)]]-Tabla1[[#This Row],[Tmin media (°C) historica]])/Tabla1[[#This Row],[Tmin media (°C) historica]]*100</f>
        <v>-2.0833333333333379</v>
      </c>
      <c r="N305" s="3">
        <f>+(Tabla1[[#This Row],[Tmedia media (°C)]]-Tabla1[[#This Row],[Tmedia media (°C) historica]])/Tabla1[[#This Row],[Tmedia media (°C) historica]]*100</f>
        <v>2.7649769585253523</v>
      </c>
      <c r="O305" s="3">
        <f>+(Tabla1[[#This Row],[Prec acum (mm)]]-Tabla1[[#This Row],[Prec acum (mm) historica]])/Tabla1[[#This Row],[Prec acum (mm) historica]]*100</f>
        <v>-34.782608695652172</v>
      </c>
    </row>
    <row r="306" spans="1:15" hidden="1" x14ac:dyDescent="0.25">
      <c r="A306">
        <v>2004</v>
      </c>
      <c r="B306" t="s">
        <v>18</v>
      </c>
      <c r="C306" t="s">
        <v>28</v>
      </c>
      <c r="D306" s="6">
        <v>28.8</v>
      </c>
      <c r="E306" s="6">
        <v>14.4</v>
      </c>
      <c r="F306" s="6">
        <v>21.7</v>
      </c>
      <c r="G306" s="6">
        <v>92</v>
      </c>
      <c r="H306" s="10">
        <v>28.8</v>
      </c>
      <c r="I306" s="10">
        <v>14.1</v>
      </c>
      <c r="J306" s="10">
        <v>21.5</v>
      </c>
      <c r="K306" s="10">
        <v>61</v>
      </c>
      <c r="L306" s="4">
        <f>+(Tabla1[[#This Row],[Tmax media (°C)]]-Tabla1[[#This Row],[Tmax media (°C) historica]])/Tabla1[[#This Row],[Tmax media (°C) historica]]*100</f>
        <v>0</v>
      </c>
      <c r="M306" s="4">
        <f>+(Tabla1[[#This Row],[Tmin media (°C)]]-Tabla1[[#This Row],[Tmin media (°C) historica]])/Tabla1[[#This Row],[Tmin media (°C) historica]]*100</f>
        <v>-2.0833333333333379</v>
      </c>
      <c r="N306" s="4">
        <f>+(Tabla1[[#This Row],[Tmedia media (°C)]]-Tabla1[[#This Row],[Tmedia media (°C) historica]])/Tabla1[[#This Row],[Tmedia media (°C) historica]]*100</f>
        <v>-0.92165898617511188</v>
      </c>
      <c r="O306" s="4">
        <f>+(Tabla1[[#This Row],[Prec acum (mm)]]-Tabla1[[#This Row],[Prec acum (mm) historica]])/Tabla1[[#This Row],[Prec acum (mm) historica]]*100</f>
        <v>-33.695652173913047</v>
      </c>
    </row>
    <row r="307" spans="1:15" hidden="1" x14ac:dyDescent="0.25">
      <c r="A307">
        <v>2015</v>
      </c>
      <c r="B307" t="s">
        <v>18</v>
      </c>
      <c r="C307" t="s">
        <v>28</v>
      </c>
      <c r="D307" s="6">
        <v>28.8</v>
      </c>
      <c r="E307" s="6">
        <v>14.4</v>
      </c>
      <c r="F307" s="6">
        <v>21.7</v>
      </c>
      <c r="G307" s="6">
        <v>92</v>
      </c>
      <c r="H307" s="10">
        <v>28.5</v>
      </c>
      <c r="I307" s="10">
        <v>15.2</v>
      </c>
      <c r="J307" s="10">
        <v>21.8</v>
      </c>
      <c r="K307" s="10">
        <v>115</v>
      </c>
      <c r="L307" s="3">
        <f>+(Tabla1[[#This Row],[Tmax media (°C)]]-Tabla1[[#This Row],[Tmax media (°C) historica]])/Tabla1[[#This Row],[Tmax media (°C) historica]]*100</f>
        <v>-1.041666666666669</v>
      </c>
      <c r="M307" s="3">
        <f>+(Tabla1[[#This Row],[Tmin media (°C)]]-Tabla1[[#This Row],[Tmin media (°C) historica]])/Tabla1[[#This Row],[Tmin media (°C) historica]]*100</f>
        <v>5.5555555555555483</v>
      </c>
      <c r="N307" s="3">
        <f>+(Tabla1[[#This Row],[Tmedia media (°C)]]-Tabla1[[#This Row],[Tmedia media (°C) historica]])/Tabla1[[#This Row],[Tmedia media (°C) historica]]*100</f>
        <v>0.46082949308756421</v>
      </c>
      <c r="O307" s="3">
        <f>+(Tabla1[[#This Row],[Prec acum (mm)]]-Tabla1[[#This Row],[Prec acum (mm) historica]])/Tabla1[[#This Row],[Prec acum (mm) historica]]*100</f>
        <v>25</v>
      </c>
    </row>
    <row r="308" spans="1:15" hidden="1" x14ac:dyDescent="0.25">
      <c r="A308">
        <v>2023</v>
      </c>
      <c r="B308" t="s">
        <v>18</v>
      </c>
      <c r="C308" t="s">
        <v>28</v>
      </c>
      <c r="D308" s="6">
        <v>28.8</v>
      </c>
      <c r="E308" s="6">
        <v>14.4</v>
      </c>
      <c r="F308" s="6">
        <v>21.7</v>
      </c>
      <c r="G308" s="6">
        <v>92</v>
      </c>
      <c r="H308" s="10">
        <v>30.3</v>
      </c>
      <c r="I308" s="10">
        <v>14.8</v>
      </c>
      <c r="J308" s="10">
        <v>22.6</v>
      </c>
      <c r="K308" s="10">
        <v>12</v>
      </c>
      <c r="L308" s="4">
        <f>+(Tabla1[[#This Row],[Tmax media (°C)]]-Tabla1[[#This Row],[Tmax media (°C) historica]])/Tabla1[[#This Row],[Tmax media (°C) historica]]*100</f>
        <v>5.208333333333333</v>
      </c>
      <c r="M308" s="4">
        <f>+(Tabla1[[#This Row],[Tmin media (°C)]]-Tabla1[[#This Row],[Tmin media (°C) historica]])/Tabla1[[#This Row],[Tmin media (°C) historica]]*100</f>
        <v>2.7777777777777799</v>
      </c>
      <c r="N308" s="4">
        <f>+(Tabla1[[#This Row],[Tmedia media (°C)]]-Tabla1[[#This Row],[Tmedia media (°C) historica]])/Tabla1[[#This Row],[Tmedia media (°C) historica]]*100</f>
        <v>4.1474654377880285</v>
      </c>
      <c r="O308" s="4">
        <f>+(Tabla1[[#This Row],[Prec acum (mm)]]-Tabla1[[#This Row],[Prec acum (mm) historica]])/Tabla1[[#This Row],[Prec acum (mm) historica]]*100</f>
        <v>-86.956521739130437</v>
      </c>
    </row>
    <row r="309" spans="1:15" hidden="1" x14ac:dyDescent="0.25">
      <c r="A309">
        <v>1987</v>
      </c>
      <c r="B309" t="s">
        <v>18</v>
      </c>
      <c r="C309" t="s">
        <v>29</v>
      </c>
      <c r="D309" s="6">
        <v>27.3</v>
      </c>
      <c r="E309" s="6">
        <v>13.2</v>
      </c>
      <c r="F309" s="6">
        <v>20.3</v>
      </c>
      <c r="G309" s="6">
        <v>87</v>
      </c>
      <c r="H309" s="10">
        <v>27.3</v>
      </c>
      <c r="I309" s="10">
        <v>12.9</v>
      </c>
      <c r="J309" s="10">
        <v>20.100000000000001</v>
      </c>
      <c r="K309" s="10">
        <v>69</v>
      </c>
      <c r="L309" s="3">
        <f>+(Tabla1[[#This Row],[Tmax media (°C)]]-Tabla1[[#This Row],[Tmax media (°C) historica]])/Tabla1[[#This Row],[Tmax media (°C) historica]]*100</f>
        <v>0</v>
      </c>
      <c r="M309" s="3">
        <f>+(Tabla1[[#This Row],[Tmin media (°C)]]-Tabla1[[#This Row],[Tmin media (°C) historica]])/Tabla1[[#This Row],[Tmin media (°C) historica]]*100</f>
        <v>-2.2727272727272649</v>
      </c>
      <c r="N309" s="3">
        <f>+(Tabla1[[#This Row],[Tmedia media (°C)]]-Tabla1[[#This Row],[Tmedia media (°C) historica]])/Tabla1[[#This Row],[Tmedia media (°C) historica]]*100</f>
        <v>-0.98522167487684387</v>
      </c>
      <c r="O309" s="3">
        <f>+(Tabla1[[#This Row],[Prec acum (mm)]]-Tabla1[[#This Row],[Prec acum (mm) historica]])/Tabla1[[#This Row],[Prec acum (mm) historica]]*100</f>
        <v>-20.689655172413794</v>
      </c>
    </row>
    <row r="310" spans="1:15" hidden="1" x14ac:dyDescent="0.25">
      <c r="A310">
        <v>1991</v>
      </c>
      <c r="B310" t="s">
        <v>18</v>
      </c>
      <c r="C310" t="s">
        <v>29</v>
      </c>
      <c r="D310" s="6">
        <v>27.5</v>
      </c>
      <c r="E310" s="6">
        <v>13.4</v>
      </c>
      <c r="F310" s="6">
        <v>20.5</v>
      </c>
      <c r="G310" s="6">
        <v>89</v>
      </c>
      <c r="H310" s="10">
        <v>27.5</v>
      </c>
      <c r="I310" s="10">
        <v>14</v>
      </c>
      <c r="J310" s="10">
        <v>20.7</v>
      </c>
      <c r="K310" s="10">
        <v>264</v>
      </c>
      <c r="L310" s="4">
        <f>+(Tabla1[[#This Row],[Tmax media (°C)]]-Tabla1[[#This Row],[Tmax media (°C) historica]])/Tabla1[[#This Row],[Tmax media (°C) historica]]*100</f>
        <v>0</v>
      </c>
      <c r="M310" s="4">
        <f>+(Tabla1[[#This Row],[Tmin media (°C)]]-Tabla1[[#This Row],[Tmin media (°C) historica]])/Tabla1[[#This Row],[Tmin media (°C) historica]]*100</f>
        <v>4.4776119402985044</v>
      </c>
      <c r="N310" s="4">
        <f>+(Tabla1[[#This Row],[Tmedia media (°C)]]-Tabla1[[#This Row],[Tmedia media (°C) historica]])/Tabla1[[#This Row],[Tmedia media (°C) historica]]*100</f>
        <v>0.97560975609755751</v>
      </c>
      <c r="O310" s="4">
        <f>+(Tabla1[[#This Row],[Prec acum (mm)]]-Tabla1[[#This Row],[Prec acum (mm) historica]])/Tabla1[[#This Row],[Prec acum (mm) historica]]*100</f>
        <v>196.62921348314606</v>
      </c>
    </row>
    <row r="311" spans="1:15" hidden="1" x14ac:dyDescent="0.25">
      <c r="A311">
        <v>1994</v>
      </c>
      <c r="B311" t="s">
        <v>18</v>
      </c>
      <c r="C311" t="s">
        <v>29</v>
      </c>
      <c r="D311" s="6">
        <v>27.5</v>
      </c>
      <c r="E311" s="6">
        <v>13.4</v>
      </c>
      <c r="F311" s="6">
        <v>20.5</v>
      </c>
      <c r="G311" s="6">
        <v>89</v>
      </c>
      <c r="H311" s="10">
        <v>27.3</v>
      </c>
      <c r="I311" s="10">
        <v>12.9</v>
      </c>
      <c r="J311" s="10">
        <v>20.100000000000001</v>
      </c>
      <c r="K311" s="10">
        <v>37</v>
      </c>
      <c r="L311" s="3">
        <f>+(Tabla1[[#This Row],[Tmax media (°C)]]-Tabla1[[#This Row],[Tmax media (°C) historica]])/Tabla1[[#This Row],[Tmax media (°C) historica]]*100</f>
        <v>-0.72727272727272463</v>
      </c>
      <c r="M311" s="3">
        <f>+(Tabla1[[#This Row],[Tmin media (°C)]]-Tabla1[[#This Row],[Tmin media (°C) historica]])/Tabla1[[#This Row],[Tmin media (°C) historica]]*100</f>
        <v>-3.7313432835820892</v>
      </c>
      <c r="N311" s="3">
        <f>+(Tabla1[[#This Row],[Tmedia media (°C)]]-Tabla1[[#This Row],[Tmedia media (°C) historica]])/Tabla1[[#This Row],[Tmedia media (°C) historica]]*100</f>
        <v>-1.951219512195115</v>
      </c>
      <c r="O311" s="3">
        <f>+(Tabla1[[#This Row],[Prec acum (mm)]]-Tabla1[[#This Row],[Prec acum (mm) historica]])/Tabla1[[#This Row],[Prec acum (mm) historica]]*100</f>
        <v>-58.426966292134829</v>
      </c>
    </row>
    <row r="312" spans="1:15" hidden="1" x14ac:dyDescent="0.25">
      <c r="A312">
        <v>1997</v>
      </c>
      <c r="B312" t="s">
        <v>18</v>
      </c>
      <c r="C312" t="s">
        <v>29</v>
      </c>
      <c r="D312" s="6">
        <v>27.5</v>
      </c>
      <c r="E312" s="6">
        <v>13.4</v>
      </c>
      <c r="F312" s="6">
        <v>20.5</v>
      </c>
      <c r="G312" s="6">
        <v>89</v>
      </c>
      <c r="H312" s="10">
        <v>24</v>
      </c>
      <c r="I312" s="10">
        <v>12.4</v>
      </c>
      <c r="J312" s="10">
        <v>18.2</v>
      </c>
      <c r="K312" s="10">
        <v>102</v>
      </c>
      <c r="L312" s="4">
        <f>+(Tabla1[[#This Row],[Tmax media (°C)]]-Tabla1[[#This Row],[Tmax media (°C) historica]])/Tabla1[[#This Row],[Tmax media (°C) historica]]*100</f>
        <v>-12.727272727272727</v>
      </c>
      <c r="M312" s="4">
        <f>+(Tabla1[[#This Row],[Tmin media (°C)]]-Tabla1[[#This Row],[Tmin media (°C) historica]])/Tabla1[[#This Row],[Tmin media (°C) historica]]*100</f>
        <v>-7.4626865671641784</v>
      </c>
      <c r="N312" s="4">
        <f>+(Tabla1[[#This Row],[Tmedia media (°C)]]-Tabla1[[#This Row],[Tmedia media (°C) historica]])/Tabla1[[#This Row],[Tmedia media (°C) historica]]*100</f>
        <v>-11.219512195121954</v>
      </c>
      <c r="O312" s="4">
        <f>+(Tabla1[[#This Row],[Prec acum (mm)]]-Tabla1[[#This Row],[Prec acum (mm) historica]])/Tabla1[[#This Row],[Prec acum (mm) historica]]*100</f>
        <v>14.606741573033707</v>
      </c>
    </row>
    <row r="313" spans="1:15" hidden="1" x14ac:dyDescent="0.25">
      <c r="A313">
        <v>2002</v>
      </c>
      <c r="B313" t="s">
        <v>18</v>
      </c>
      <c r="C313" t="s">
        <v>29</v>
      </c>
      <c r="D313" s="6">
        <v>27.5</v>
      </c>
      <c r="E313" s="6">
        <v>13.4</v>
      </c>
      <c r="F313" s="6">
        <v>20.5</v>
      </c>
      <c r="G313" s="6">
        <v>89</v>
      </c>
      <c r="H313" s="10">
        <v>28</v>
      </c>
      <c r="I313" s="10">
        <v>13.1</v>
      </c>
      <c r="J313" s="10">
        <v>20.5</v>
      </c>
      <c r="K313" s="10">
        <v>83</v>
      </c>
      <c r="L313" s="3">
        <f>+(Tabla1[[#This Row],[Tmax media (°C)]]-Tabla1[[#This Row],[Tmax media (°C) historica]])/Tabla1[[#This Row],[Tmax media (°C) historica]]*100</f>
        <v>1.8181818181818181</v>
      </c>
      <c r="M313" s="3">
        <f>+(Tabla1[[#This Row],[Tmin media (°C)]]-Tabla1[[#This Row],[Tmin media (°C) historica]])/Tabla1[[#This Row],[Tmin media (°C) historica]]*100</f>
        <v>-2.2388059701492589</v>
      </c>
      <c r="N313" s="3">
        <f>+(Tabla1[[#This Row],[Tmedia media (°C)]]-Tabla1[[#This Row],[Tmedia media (°C) historica]])/Tabla1[[#This Row],[Tmedia media (°C) historica]]*100</f>
        <v>0</v>
      </c>
      <c r="O313" s="3">
        <f>+(Tabla1[[#This Row],[Prec acum (mm)]]-Tabla1[[#This Row],[Prec acum (mm) historica]])/Tabla1[[#This Row],[Prec acum (mm) historica]]*100</f>
        <v>-6.7415730337078648</v>
      </c>
    </row>
    <row r="314" spans="1:15" hidden="1" x14ac:dyDescent="0.25">
      <c r="A314">
        <v>2004</v>
      </c>
      <c r="B314" t="s">
        <v>18</v>
      </c>
      <c r="C314" t="s">
        <v>29</v>
      </c>
      <c r="D314" s="6">
        <v>27.5</v>
      </c>
      <c r="E314" s="6">
        <v>13.4</v>
      </c>
      <c r="F314" s="6">
        <v>20.5</v>
      </c>
      <c r="G314" s="6">
        <v>89</v>
      </c>
      <c r="H314" s="10">
        <v>27.8</v>
      </c>
      <c r="I314" s="10">
        <v>15.3</v>
      </c>
      <c r="J314" s="10">
        <v>21.5</v>
      </c>
      <c r="K314" s="10">
        <v>110</v>
      </c>
      <c r="L314" s="4">
        <f>+(Tabla1[[#This Row],[Tmax media (°C)]]-Tabla1[[#This Row],[Tmax media (°C) historica]])/Tabla1[[#This Row],[Tmax media (°C) historica]]*100</f>
        <v>1.0909090909090935</v>
      </c>
      <c r="M314" s="4">
        <f>+(Tabla1[[#This Row],[Tmin media (°C)]]-Tabla1[[#This Row],[Tmin media (°C) historica]])/Tabla1[[#This Row],[Tmin media (°C) historica]]*100</f>
        <v>14.179104477611942</v>
      </c>
      <c r="N314" s="4">
        <f>+(Tabla1[[#This Row],[Tmedia media (°C)]]-Tabla1[[#This Row],[Tmedia media (°C) historica]])/Tabla1[[#This Row],[Tmedia media (°C) historica]]*100</f>
        <v>4.8780487804878048</v>
      </c>
      <c r="O314" s="4">
        <f>+(Tabla1[[#This Row],[Prec acum (mm)]]-Tabla1[[#This Row],[Prec acum (mm) historica]])/Tabla1[[#This Row],[Prec acum (mm) historica]]*100</f>
        <v>23.595505617977526</v>
      </c>
    </row>
    <row r="315" spans="1:15" hidden="1" x14ac:dyDescent="0.25">
      <c r="A315">
        <v>2015</v>
      </c>
      <c r="B315" t="s">
        <v>18</v>
      </c>
      <c r="C315" t="s">
        <v>29</v>
      </c>
      <c r="D315" s="6">
        <v>27.5</v>
      </c>
      <c r="E315" s="6">
        <v>13.4</v>
      </c>
      <c r="F315" s="6">
        <v>20.5</v>
      </c>
      <c r="G315" s="6">
        <v>89</v>
      </c>
      <c r="H315" s="10">
        <v>28.1</v>
      </c>
      <c r="I315" s="10">
        <v>15</v>
      </c>
      <c r="J315" s="10">
        <v>21.6</v>
      </c>
      <c r="K315" s="10">
        <v>165</v>
      </c>
      <c r="L315" s="3">
        <f>+(Tabla1[[#This Row],[Tmax media (°C)]]-Tabla1[[#This Row],[Tmax media (°C) historica]])/Tabla1[[#This Row],[Tmax media (°C) historica]]*100</f>
        <v>2.181818181818187</v>
      </c>
      <c r="M315" s="3">
        <f>+(Tabla1[[#This Row],[Tmin media (°C)]]-Tabla1[[#This Row],[Tmin media (°C) historica]])/Tabla1[[#This Row],[Tmin media (°C) historica]]*100</f>
        <v>11.940298507462684</v>
      </c>
      <c r="N315" s="3">
        <f>+(Tabla1[[#This Row],[Tmedia media (°C)]]-Tabla1[[#This Row],[Tmedia media (°C) historica]])/Tabla1[[#This Row],[Tmedia media (°C) historica]]*100</f>
        <v>5.3658536585365919</v>
      </c>
      <c r="O315" s="3">
        <f>+(Tabla1[[#This Row],[Prec acum (mm)]]-Tabla1[[#This Row],[Prec acum (mm) historica]])/Tabla1[[#This Row],[Prec acum (mm) historica]]*100</f>
        <v>85.393258426966284</v>
      </c>
    </row>
    <row r="316" spans="1:15" hidden="1" x14ac:dyDescent="0.25">
      <c r="A316">
        <v>2023</v>
      </c>
      <c r="B316" t="s">
        <v>18</v>
      </c>
      <c r="C316" t="s">
        <v>29</v>
      </c>
      <c r="D316" s="6">
        <v>27.5</v>
      </c>
      <c r="E316" s="6">
        <v>13.4</v>
      </c>
      <c r="F316" s="6">
        <v>20.5</v>
      </c>
      <c r="G316" s="6">
        <v>89</v>
      </c>
      <c r="H316" s="10">
        <v>28.2</v>
      </c>
      <c r="I316" s="10">
        <v>15</v>
      </c>
      <c r="J316" s="10">
        <v>21.6</v>
      </c>
      <c r="K316" s="10">
        <v>152</v>
      </c>
      <c r="L316" s="4">
        <f>+(Tabla1[[#This Row],[Tmax media (°C)]]-Tabla1[[#This Row],[Tmax media (°C) historica]])/Tabla1[[#This Row],[Tmax media (°C) historica]]*100</f>
        <v>2.5454545454545427</v>
      </c>
      <c r="M316" s="4">
        <f>+(Tabla1[[#This Row],[Tmin media (°C)]]-Tabla1[[#This Row],[Tmin media (°C) historica]])/Tabla1[[#This Row],[Tmin media (°C) historica]]*100</f>
        <v>11.940298507462684</v>
      </c>
      <c r="N316" s="4">
        <f>+(Tabla1[[#This Row],[Tmedia media (°C)]]-Tabla1[[#This Row],[Tmedia media (°C) historica]])/Tabla1[[#This Row],[Tmedia media (°C) historica]]*100</f>
        <v>5.3658536585365919</v>
      </c>
      <c r="O316" s="4">
        <f>+(Tabla1[[#This Row],[Prec acum (mm)]]-Tabla1[[#This Row],[Prec acum (mm) historica]])/Tabla1[[#This Row],[Prec acum (mm) historica]]*100</f>
        <v>70.786516853932582</v>
      </c>
    </row>
    <row r="317" spans="1:15" hidden="1" x14ac:dyDescent="0.25">
      <c r="A317">
        <v>1982</v>
      </c>
      <c r="B317" t="s">
        <v>19</v>
      </c>
      <c r="C317" t="s">
        <v>21</v>
      </c>
      <c r="D317" s="6">
        <v>13.2</v>
      </c>
      <c r="E317" s="6">
        <v>3.2</v>
      </c>
      <c r="F317" s="6">
        <v>7.9</v>
      </c>
      <c r="G317" s="6">
        <v>36</v>
      </c>
      <c r="H317" s="10">
        <v>11.7</v>
      </c>
      <c r="I317" s="10">
        <v>3.5</v>
      </c>
      <c r="J317" s="10">
        <v>7.6</v>
      </c>
      <c r="K317" s="10">
        <v>36</v>
      </c>
      <c r="L317" s="3">
        <f>+(Tabla1[[#This Row],[Tmax media (°C)]]-Tabla1[[#This Row],[Tmax media (°C) historica]])/Tabla1[[#This Row],[Tmax media (°C) historica]]*100</f>
        <v>-11.363636363636365</v>
      </c>
      <c r="M317" s="3">
        <f>+(Tabla1[[#This Row],[Tmin media (°C)]]-Tabla1[[#This Row],[Tmin media (°C) historica]])/Tabla1[[#This Row],[Tmin media (°C) historica]]*100</f>
        <v>9.3749999999999947</v>
      </c>
      <c r="N317" s="3">
        <f>+(Tabla1[[#This Row],[Tmedia media (°C)]]-Tabla1[[#This Row],[Tmedia media (°C) historica]])/Tabla1[[#This Row],[Tmedia media (°C) historica]]*100</f>
        <v>-3.7974683544303889</v>
      </c>
      <c r="O317" s="3">
        <f>+(Tabla1[[#This Row],[Prec acum (mm)]]-Tabla1[[#This Row],[Prec acum (mm) historica]])/Tabla1[[#This Row],[Prec acum (mm) historica]]*100</f>
        <v>0</v>
      </c>
    </row>
    <row r="318" spans="1:15" hidden="1" x14ac:dyDescent="0.25">
      <c r="A318">
        <v>1987</v>
      </c>
      <c r="B318" t="s">
        <v>19</v>
      </c>
      <c r="C318" t="s">
        <v>21</v>
      </c>
      <c r="D318" s="6">
        <v>13.2</v>
      </c>
      <c r="E318" s="6">
        <v>3.2</v>
      </c>
      <c r="F318" s="6">
        <v>7.9</v>
      </c>
      <c r="G318" s="6">
        <v>36</v>
      </c>
      <c r="H318" s="10">
        <v>15.1</v>
      </c>
      <c r="I318" s="10">
        <v>1.6</v>
      </c>
      <c r="J318" s="10">
        <v>8.3000000000000007</v>
      </c>
      <c r="K318" s="10">
        <v>52</v>
      </c>
      <c r="L318" s="4">
        <f>+(Tabla1[[#This Row],[Tmax media (°C)]]-Tabla1[[#This Row],[Tmax media (°C) historica]])/Tabla1[[#This Row],[Tmax media (°C) historica]]*100</f>
        <v>14.393939393939398</v>
      </c>
      <c r="M318" s="4">
        <f>+(Tabla1[[#This Row],[Tmin media (°C)]]-Tabla1[[#This Row],[Tmin media (°C) historica]])/Tabla1[[#This Row],[Tmin media (°C) historica]]*100</f>
        <v>-50</v>
      </c>
      <c r="N318" s="4">
        <f>+(Tabla1[[#This Row],[Tmedia media (°C)]]-Tabla1[[#This Row],[Tmedia media (°C) historica]])/Tabla1[[#This Row],[Tmedia media (°C) historica]]*100</f>
        <v>5.0632911392405102</v>
      </c>
      <c r="O318" s="4">
        <f>+(Tabla1[[#This Row],[Prec acum (mm)]]-Tabla1[[#This Row],[Prec acum (mm) historica]])/Tabla1[[#This Row],[Prec acum (mm) historica]]*100</f>
        <v>44.444444444444443</v>
      </c>
    </row>
    <row r="319" spans="1:15" hidden="1" x14ac:dyDescent="0.25">
      <c r="A319">
        <v>1991</v>
      </c>
      <c r="B319" t="s">
        <v>19</v>
      </c>
      <c r="C319" t="s">
        <v>21</v>
      </c>
      <c r="D319" s="6">
        <v>13.9</v>
      </c>
      <c r="E319" s="6">
        <v>3</v>
      </c>
      <c r="F319" s="6">
        <v>8.6</v>
      </c>
      <c r="G319" s="6">
        <v>36</v>
      </c>
      <c r="H319" s="10">
        <v>12.5</v>
      </c>
      <c r="I319" s="10">
        <v>2.2000000000000002</v>
      </c>
      <c r="J319" s="10">
        <v>7.3</v>
      </c>
      <c r="K319" s="10">
        <v>130</v>
      </c>
      <c r="L319" s="3">
        <f>+(Tabla1[[#This Row],[Tmax media (°C)]]-Tabla1[[#This Row],[Tmax media (°C) historica]])/Tabla1[[#This Row],[Tmax media (°C) historica]]*100</f>
        <v>-10.071942446043169</v>
      </c>
      <c r="M319" s="3">
        <f>+(Tabla1[[#This Row],[Tmin media (°C)]]-Tabla1[[#This Row],[Tmin media (°C) historica]])/Tabla1[[#This Row],[Tmin media (°C) historica]]*100</f>
        <v>-26.666666666666661</v>
      </c>
      <c r="N319" s="3">
        <f>+(Tabla1[[#This Row],[Tmedia media (°C)]]-Tabla1[[#This Row],[Tmedia media (°C) historica]])/Tabla1[[#This Row],[Tmedia media (°C) historica]]*100</f>
        <v>-15.11627906976744</v>
      </c>
      <c r="O319" s="3">
        <f>+(Tabla1[[#This Row],[Prec acum (mm)]]-Tabla1[[#This Row],[Prec acum (mm) historica]])/Tabla1[[#This Row],[Prec acum (mm) historica]]*100</f>
        <v>261.11111111111114</v>
      </c>
    </row>
    <row r="320" spans="1:15" hidden="1" x14ac:dyDescent="0.25">
      <c r="A320">
        <v>1994</v>
      </c>
      <c r="B320" t="s">
        <v>19</v>
      </c>
      <c r="C320" t="s">
        <v>21</v>
      </c>
      <c r="D320" s="6">
        <v>13.9</v>
      </c>
      <c r="E320" s="6">
        <v>3</v>
      </c>
      <c r="F320" s="6">
        <v>8.6</v>
      </c>
      <c r="G320" s="6">
        <v>36</v>
      </c>
      <c r="H320" s="10">
        <v>14.5</v>
      </c>
      <c r="I320" s="10">
        <v>3.4</v>
      </c>
      <c r="J320" s="10">
        <v>8.9</v>
      </c>
      <c r="K320" s="10">
        <v>41</v>
      </c>
      <c r="L320" s="4">
        <f>+(Tabla1[[#This Row],[Tmax media (°C)]]-Tabla1[[#This Row],[Tmax media (°C) historica]])/Tabla1[[#This Row],[Tmax media (°C) historica]]*100</f>
        <v>4.3165467625899252</v>
      </c>
      <c r="M320" s="4">
        <f>+(Tabla1[[#This Row],[Tmin media (°C)]]-Tabla1[[#This Row],[Tmin media (°C) historica]])/Tabla1[[#This Row],[Tmin media (°C) historica]]*100</f>
        <v>13.33333333333333</v>
      </c>
      <c r="N320" s="4">
        <f>+(Tabla1[[#This Row],[Tmedia media (°C)]]-Tabla1[[#This Row],[Tmedia media (°C) historica]])/Tabla1[[#This Row],[Tmedia media (°C) historica]]*100</f>
        <v>3.4883720930232642</v>
      </c>
      <c r="O320" s="4">
        <f>+(Tabla1[[#This Row],[Prec acum (mm)]]-Tabla1[[#This Row],[Prec acum (mm) historica]])/Tabla1[[#This Row],[Prec acum (mm) historica]]*100</f>
        <v>13.888888888888889</v>
      </c>
    </row>
    <row r="321" spans="1:15" hidden="1" x14ac:dyDescent="0.25">
      <c r="A321">
        <v>1997</v>
      </c>
      <c r="B321" t="s">
        <v>19</v>
      </c>
      <c r="C321" t="s">
        <v>21</v>
      </c>
      <c r="D321" s="6">
        <v>13.9</v>
      </c>
      <c r="E321" s="6">
        <v>3</v>
      </c>
      <c r="F321" s="6">
        <v>8.6</v>
      </c>
      <c r="G321" s="6">
        <v>36</v>
      </c>
      <c r="H321" s="10">
        <v>13.1</v>
      </c>
      <c r="I321" s="10">
        <v>4.3</v>
      </c>
      <c r="J321" s="10">
        <v>8.6999999999999993</v>
      </c>
      <c r="K321" s="10">
        <v>103</v>
      </c>
      <c r="L321" s="3">
        <f>+(Tabla1[[#This Row],[Tmax media (°C)]]-Tabla1[[#This Row],[Tmax media (°C) historica]])/Tabla1[[#This Row],[Tmax media (°C) historica]]*100</f>
        <v>-5.7553956834532425</v>
      </c>
      <c r="M321" s="3">
        <f>+(Tabla1[[#This Row],[Tmin media (°C)]]-Tabla1[[#This Row],[Tmin media (°C) historica]])/Tabla1[[#This Row],[Tmin media (°C) historica]]*100</f>
        <v>43.333333333333329</v>
      </c>
      <c r="N321" s="3">
        <f>+(Tabla1[[#This Row],[Tmedia media (°C)]]-Tabla1[[#This Row],[Tmedia media (°C) historica]])/Tabla1[[#This Row],[Tmedia media (°C) historica]]*100</f>
        <v>1.1627906976744147</v>
      </c>
      <c r="O321" s="3">
        <f>+(Tabla1[[#This Row],[Prec acum (mm)]]-Tabla1[[#This Row],[Prec acum (mm) historica]])/Tabla1[[#This Row],[Prec acum (mm) historica]]*100</f>
        <v>186.11111111111111</v>
      </c>
    </row>
    <row r="322" spans="1:15" hidden="1" x14ac:dyDescent="0.25">
      <c r="A322">
        <v>2002</v>
      </c>
      <c r="B322" t="s">
        <v>19</v>
      </c>
      <c r="C322" t="s">
        <v>21</v>
      </c>
      <c r="D322" s="6">
        <v>13.9</v>
      </c>
      <c r="E322" s="6">
        <v>3</v>
      </c>
      <c r="F322" s="6">
        <v>8.6</v>
      </c>
      <c r="G322" s="6">
        <v>36</v>
      </c>
      <c r="H322" s="10">
        <v>12.5</v>
      </c>
      <c r="I322" s="10">
        <v>0.5</v>
      </c>
      <c r="J322" s="10">
        <v>6.5</v>
      </c>
      <c r="K322" s="10">
        <v>6</v>
      </c>
      <c r="L322" s="4">
        <f>+(Tabla1[[#This Row],[Tmax media (°C)]]-Tabla1[[#This Row],[Tmax media (°C) historica]])/Tabla1[[#This Row],[Tmax media (°C) historica]]*100</f>
        <v>-10.071942446043169</v>
      </c>
      <c r="M322" s="4">
        <f>+(Tabla1[[#This Row],[Tmin media (°C)]]-Tabla1[[#This Row],[Tmin media (°C) historica]])/Tabla1[[#This Row],[Tmin media (°C) historica]]*100</f>
        <v>-83.333333333333343</v>
      </c>
      <c r="N322" s="4">
        <f>+(Tabla1[[#This Row],[Tmedia media (°C)]]-Tabla1[[#This Row],[Tmedia media (°C) historica]])/Tabla1[[#This Row],[Tmedia media (°C) historica]]*100</f>
        <v>-24.418604651162788</v>
      </c>
      <c r="O322" s="4">
        <f>+(Tabla1[[#This Row],[Prec acum (mm)]]-Tabla1[[#This Row],[Prec acum (mm) historica]])/Tabla1[[#This Row],[Prec acum (mm) historica]]*100</f>
        <v>-83.333333333333343</v>
      </c>
    </row>
    <row r="323" spans="1:15" hidden="1" x14ac:dyDescent="0.25">
      <c r="A323">
        <v>2004</v>
      </c>
      <c r="B323" t="s">
        <v>19</v>
      </c>
      <c r="C323" t="s">
        <v>21</v>
      </c>
      <c r="D323" s="6">
        <v>13.9</v>
      </c>
      <c r="E323" s="6">
        <v>3</v>
      </c>
      <c r="F323" s="6">
        <v>8.6</v>
      </c>
      <c r="G323" s="6">
        <v>36</v>
      </c>
      <c r="H323" s="10">
        <v>14.9</v>
      </c>
      <c r="I323" s="10">
        <v>3.1</v>
      </c>
      <c r="J323" s="10">
        <v>9</v>
      </c>
      <c r="K323" s="10">
        <v>38</v>
      </c>
      <c r="L323" s="3">
        <f>+(Tabla1[[#This Row],[Tmax media (°C)]]-Tabla1[[#This Row],[Tmax media (°C) historica]])/Tabla1[[#This Row],[Tmax media (°C) historica]]*100</f>
        <v>7.1942446043165464</v>
      </c>
      <c r="M323" s="3">
        <f>+(Tabla1[[#This Row],[Tmin media (°C)]]-Tabla1[[#This Row],[Tmin media (°C) historica]])/Tabla1[[#This Row],[Tmin media (°C) historica]]*100</f>
        <v>3.3333333333333361</v>
      </c>
      <c r="N323" s="3">
        <f>+(Tabla1[[#This Row],[Tmedia media (°C)]]-Tabla1[[#This Row],[Tmedia media (°C) historica]])/Tabla1[[#This Row],[Tmedia media (°C) historica]]*100</f>
        <v>4.6511627906976782</v>
      </c>
      <c r="O323" s="3">
        <f>+(Tabla1[[#This Row],[Prec acum (mm)]]-Tabla1[[#This Row],[Prec acum (mm) historica]])/Tabla1[[#This Row],[Prec acum (mm) historica]]*100</f>
        <v>5.5555555555555554</v>
      </c>
    </row>
    <row r="324" spans="1:15" hidden="1" x14ac:dyDescent="0.25">
      <c r="A324">
        <v>2015</v>
      </c>
      <c r="B324" t="s">
        <v>19</v>
      </c>
      <c r="C324" t="s">
        <v>21</v>
      </c>
      <c r="D324" s="6">
        <v>13.9</v>
      </c>
      <c r="E324" s="6">
        <v>3</v>
      </c>
      <c r="F324" s="6">
        <v>8.6</v>
      </c>
      <c r="G324" s="6">
        <v>36</v>
      </c>
      <c r="H324" s="10">
        <v>15.3</v>
      </c>
      <c r="I324" s="10">
        <v>3.2</v>
      </c>
      <c r="J324" s="10">
        <v>9.3000000000000007</v>
      </c>
      <c r="K324" s="10">
        <v>25</v>
      </c>
      <c r="L324" s="4">
        <f>+(Tabla1[[#This Row],[Tmax media (°C)]]-Tabla1[[#This Row],[Tmax media (°C) historica]])/Tabla1[[#This Row],[Tmax media (°C) historica]]*100</f>
        <v>10.071942446043169</v>
      </c>
      <c r="M324" s="4">
        <f>+(Tabla1[[#This Row],[Tmin media (°C)]]-Tabla1[[#This Row],[Tmin media (°C) historica]])/Tabla1[[#This Row],[Tmin media (°C) historica]]*100</f>
        <v>6.6666666666666723</v>
      </c>
      <c r="N324" s="4">
        <f>+(Tabla1[[#This Row],[Tmedia media (°C)]]-Tabla1[[#This Row],[Tmedia media (°C) historica]])/Tabla1[[#This Row],[Tmedia media (°C) historica]]*100</f>
        <v>8.1395348837209429</v>
      </c>
      <c r="O324" s="4">
        <f>+(Tabla1[[#This Row],[Prec acum (mm)]]-Tabla1[[#This Row],[Prec acum (mm) historica]])/Tabla1[[#This Row],[Prec acum (mm) historica]]*100</f>
        <v>-30.555555555555557</v>
      </c>
    </row>
    <row r="325" spans="1:15" ht="14.25" hidden="1" customHeight="1" x14ac:dyDescent="0.25">
      <c r="A325">
        <v>2023</v>
      </c>
      <c r="B325" t="s">
        <v>19</v>
      </c>
      <c r="C325" t="s">
        <v>21</v>
      </c>
      <c r="D325" s="6">
        <v>13.9</v>
      </c>
      <c r="E325" s="6">
        <v>3</v>
      </c>
      <c r="F325" s="6">
        <v>8.6</v>
      </c>
      <c r="G325" s="6">
        <v>36</v>
      </c>
      <c r="H325" s="10">
        <v>14.3</v>
      </c>
      <c r="I325" s="10">
        <v>2.2000000000000002</v>
      </c>
      <c r="J325" s="10">
        <v>8.3000000000000007</v>
      </c>
      <c r="K325" s="10">
        <v>23</v>
      </c>
      <c r="L325" s="3">
        <f>+(Tabla1[[#This Row],[Tmax media (°C)]]-Tabla1[[#This Row],[Tmax media (°C) historica]])/Tabla1[[#This Row],[Tmax media (°C) historica]]*100</f>
        <v>2.8776978417266212</v>
      </c>
      <c r="M325" s="3">
        <f>+(Tabla1[[#This Row],[Tmin media (°C)]]-Tabla1[[#This Row],[Tmin media (°C) historica]])/Tabla1[[#This Row],[Tmin media (°C) historica]]*100</f>
        <v>-26.666666666666661</v>
      </c>
      <c r="N325" s="3">
        <f>+(Tabla1[[#This Row],[Tmedia media (°C)]]-Tabla1[[#This Row],[Tmedia media (°C) historica]])/Tabla1[[#This Row],[Tmedia media (°C) historica]]*100</f>
        <v>-3.4883720930232434</v>
      </c>
      <c r="O325" s="3">
        <f>+(Tabla1[[#This Row],[Prec acum (mm)]]-Tabla1[[#This Row],[Prec acum (mm) historica]])/Tabla1[[#This Row],[Prec acum (mm) historica]]*100</f>
        <v>-36.111111111111107</v>
      </c>
    </row>
    <row r="326" spans="1:15" hidden="1" x14ac:dyDescent="0.25">
      <c r="A326">
        <v>1982</v>
      </c>
      <c r="B326" t="s">
        <v>19</v>
      </c>
      <c r="C326" t="s">
        <v>22</v>
      </c>
      <c r="D326" s="6">
        <v>12.8</v>
      </c>
      <c r="E326" s="6">
        <v>1.6</v>
      </c>
      <c r="F326" s="6">
        <v>7.1</v>
      </c>
      <c r="G326" s="6">
        <v>20</v>
      </c>
      <c r="H326" s="10">
        <v>11.9</v>
      </c>
      <c r="I326" s="10">
        <v>2.9</v>
      </c>
      <c r="J326" s="10">
        <v>7.4</v>
      </c>
      <c r="K326" s="10">
        <v>16</v>
      </c>
      <c r="L326" s="3">
        <f>+(Tabla1[[#This Row],[Tmax media (°C)]]-Tabla1[[#This Row],[Tmax media (°C) historica]])/Tabla1[[#This Row],[Tmax media (°C) historica]]*100</f>
        <v>-7.0312500000000027</v>
      </c>
      <c r="M326" s="3">
        <f>+(Tabla1[[#This Row],[Tmin media (°C)]]-Tabla1[[#This Row],[Tmin media (°C) historica]])/Tabla1[[#This Row],[Tmin media (°C) historica]]*100</f>
        <v>81.249999999999986</v>
      </c>
      <c r="N326" s="3">
        <f>+(Tabla1[[#This Row],[Tmedia media (°C)]]-Tabla1[[#This Row],[Tmedia media (°C) historica]])/Tabla1[[#This Row],[Tmedia media (°C) historica]]*100</f>
        <v>4.2253521126760667</v>
      </c>
      <c r="O326" s="3">
        <f>+(Tabla1[[#This Row],[Prec acum (mm)]]-Tabla1[[#This Row],[Prec acum (mm) historica]])/Tabla1[[#This Row],[Prec acum (mm) historica]]*100</f>
        <v>-20</v>
      </c>
    </row>
    <row r="327" spans="1:15" hidden="1" x14ac:dyDescent="0.25">
      <c r="A327">
        <v>1987</v>
      </c>
      <c r="B327" t="s">
        <v>19</v>
      </c>
      <c r="C327" t="s">
        <v>22</v>
      </c>
      <c r="D327" s="6">
        <v>12.8</v>
      </c>
      <c r="E327" s="6">
        <v>1.6</v>
      </c>
      <c r="F327" s="6">
        <v>7.1</v>
      </c>
      <c r="G327" s="6">
        <v>20</v>
      </c>
      <c r="H327" s="10">
        <v>13.8</v>
      </c>
      <c r="I327" s="10">
        <v>4.8</v>
      </c>
      <c r="J327" s="10">
        <v>9.3000000000000007</v>
      </c>
      <c r="K327" s="10">
        <v>126</v>
      </c>
      <c r="L327" s="4">
        <f>+(Tabla1[[#This Row],[Tmax media (°C)]]-Tabla1[[#This Row],[Tmax media (°C) historica]])/Tabla1[[#This Row],[Tmax media (°C) historica]]*100</f>
        <v>7.8125</v>
      </c>
      <c r="M327" s="4">
        <f>+(Tabla1[[#This Row],[Tmin media (°C)]]-Tabla1[[#This Row],[Tmin media (°C) historica]])/Tabla1[[#This Row],[Tmin media (°C) historica]]*100</f>
        <v>199.99999999999997</v>
      </c>
      <c r="N327" s="4">
        <f>+(Tabla1[[#This Row],[Tmedia media (°C)]]-Tabla1[[#This Row],[Tmedia media (°C) historica]])/Tabla1[[#This Row],[Tmedia media (°C) historica]]*100</f>
        <v>30.985915492957762</v>
      </c>
      <c r="O327" s="4">
        <f>+(Tabla1[[#This Row],[Prec acum (mm)]]-Tabla1[[#This Row],[Prec acum (mm) historica]])/Tabla1[[#This Row],[Prec acum (mm) historica]]*100</f>
        <v>530</v>
      </c>
    </row>
    <row r="328" spans="1:15" hidden="1" x14ac:dyDescent="0.25">
      <c r="A328">
        <v>1991</v>
      </c>
      <c r="B328" t="s">
        <v>19</v>
      </c>
      <c r="C328" t="s">
        <v>22</v>
      </c>
      <c r="D328" s="6">
        <v>13.1</v>
      </c>
      <c r="E328" s="6">
        <v>1.6</v>
      </c>
      <c r="F328" s="6">
        <v>7.2</v>
      </c>
      <c r="G328" s="6">
        <v>34</v>
      </c>
      <c r="H328" s="10">
        <v>12.8</v>
      </c>
      <c r="I328" s="10">
        <v>1.3</v>
      </c>
      <c r="J328" s="10">
        <v>7.1</v>
      </c>
      <c r="K328" s="10">
        <v>18</v>
      </c>
      <c r="L328" s="3">
        <f>+(Tabla1[[#This Row],[Tmax media (°C)]]-Tabla1[[#This Row],[Tmax media (°C) historica]])/Tabla1[[#This Row],[Tmax media (°C) historica]]*100</f>
        <v>-2.2900763358778544</v>
      </c>
      <c r="M328" s="3">
        <f>+(Tabla1[[#This Row],[Tmin media (°C)]]-Tabla1[[#This Row],[Tmin media (°C) historica]])/Tabla1[[#This Row],[Tmin media (°C) historica]]*100</f>
        <v>-18.750000000000004</v>
      </c>
      <c r="N328" s="3">
        <f>+(Tabla1[[#This Row],[Tmedia media (°C)]]-Tabla1[[#This Row],[Tmedia media (°C) historica]])/Tabla1[[#This Row],[Tmedia media (°C) historica]]*100</f>
        <v>-1.3888888888888962</v>
      </c>
      <c r="O328" s="3">
        <f>+(Tabla1[[#This Row],[Prec acum (mm)]]-Tabla1[[#This Row],[Prec acum (mm) historica]])/Tabla1[[#This Row],[Prec acum (mm) historica]]*100</f>
        <v>-47.058823529411761</v>
      </c>
    </row>
    <row r="329" spans="1:15" hidden="1" x14ac:dyDescent="0.25">
      <c r="A329">
        <v>1994</v>
      </c>
      <c r="B329" t="s">
        <v>19</v>
      </c>
      <c r="C329" t="s">
        <v>22</v>
      </c>
      <c r="D329" s="6">
        <v>13.1</v>
      </c>
      <c r="E329" s="6">
        <v>1.6</v>
      </c>
      <c r="F329" s="6">
        <v>7.2</v>
      </c>
      <c r="G329" s="6">
        <v>34</v>
      </c>
      <c r="H329" s="10">
        <v>13.1</v>
      </c>
      <c r="I329" s="10">
        <v>0.9</v>
      </c>
      <c r="J329" s="10">
        <v>7</v>
      </c>
      <c r="K329" s="10">
        <v>15</v>
      </c>
      <c r="L329" s="4">
        <f>+(Tabla1[[#This Row],[Tmax media (°C)]]-Tabla1[[#This Row],[Tmax media (°C) historica]])/Tabla1[[#This Row],[Tmax media (°C) historica]]*100</f>
        <v>0</v>
      </c>
      <c r="M329" s="4">
        <f>+(Tabla1[[#This Row],[Tmin media (°C)]]-Tabla1[[#This Row],[Tmin media (°C) historica]])/Tabla1[[#This Row],[Tmin media (°C) historica]]*100</f>
        <v>-43.75</v>
      </c>
      <c r="N329" s="4">
        <f>+(Tabla1[[#This Row],[Tmedia media (°C)]]-Tabla1[[#This Row],[Tmedia media (°C) historica]])/Tabla1[[#This Row],[Tmedia media (°C) historica]]*100</f>
        <v>-2.7777777777777799</v>
      </c>
      <c r="O329" s="4">
        <f>+(Tabla1[[#This Row],[Prec acum (mm)]]-Tabla1[[#This Row],[Prec acum (mm) historica]])/Tabla1[[#This Row],[Prec acum (mm) historica]]*100</f>
        <v>-55.882352941176471</v>
      </c>
    </row>
    <row r="330" spans="1:15" hidden="1" x14ac:dyDescent="0.25">
      <c r="A330">
        <v>1997</v>
      </c>
      <c r="B330" t="s">
        <v>19</v>
      </c>
      <c r="C330" t="s">
        <v>22</v>
      </c>
      <c r="D330" s="6">
        <v>13.1</v>
      </c>
      <c r="E330" s="6">
        <v>1.6</v>
      </c>
      <c r="F330" s="6">
        <v>7.2</v>
      </c>
      <c r="G330" s="6">
        <v>34</v>
      </c>
      <c r="H330" s="10">
        <v>14.3</v>
      </c>
      <c r="I330" s="10">
        <v>4.0999999999999996</v>
      </c>
      <c r="J330" s="10">
        <v>9.1999999999999993</v>
      </c>
      <c r="K330" s="10">
        <v>44</v>
      </c>
      <c r="L330" s="3">
        <f>+(Tabla1[[#This Row],[Tmax media (°C)]]-Tabla1[[#This Row],[Tmax media (°C) historica]])/Tabla1[[#This Row],[Tmax media (°C) historica]]*100</f>
        <v>9.1603053435114585</v>
      </c>
      <c r="M330" s="3">
        <f>+(Tabla1[[#This Row],[Tmin media (°C)]]-Tabla1[[#This Row],[Tmin media (°C) historica]])/Tabla1[[#This Row],[Tmin media (°C) historica]]*100</f>
        <v>156.24999999999994</v>
      </c>
      <c r="N330" s="3">
        <f>+(Tabla1[[#This Row],[Tmedia media (°C)]]-Tabla1[[#This Row],[Tmedia media (°C) historica]])/Tabla1[[#This Row],[Tmedia media (°C) historica]]*100</f>
        <v>27.777777777777761</v>
      </c>
      <c r="O330" s="3">
        <f>+(Tabla1[[#This Row],[Prec acum (mm)]]-Tabla1[[#This Row],[Prec acum (mm) historica]])/Tabla1[[#This Row],[Prec acum (mm) historica]]*100</f>
        <v>29.411764705882355</v>
      </c>
    </row>
    <row r="331" spans="1:15" hidden="1" x14ac:dyDescent="0.25">
      <c r="A331">
        <v>2002</v>
      </c>
      <c r="B331" t="s">
        <v>19</v>
      </c>
      <c r="C331" t="s">
        <v>22</v>
      </c>
      <c r="D331" s="6">
        <v>13.1</v>
      </c>
      <c r="E331" s="6">
        <v>1.6</v>
      </c>
      <c r="F331" s="6">
        <v>7.2</v>
      </c>
      <c r="G331" s="6">
        <v>34</v>
      </c>
      <c r="H331" s="10">
        <v>12.7</v>
      </c>
      <c r="I331" s="10">
        <v>2.9</v>
      </c>
      <c r="J331" s="10">
        <v>7.8</v>
      </c>
      <c r="K331" s="10">
        <v>62</v>
      </c>
      <c r="L331" s="4">
        <f>+(Tabla1[[#This Row],[Tmax media (°C)]]-Tabla1[[#This Row],[Tmax media (°C) historica]])/Tabla1[[#This Row],[Tmax media (°C) historica]]*100</f>
        <v>-3.0534351145038197</v>
      </c>
      <c r="M331" s="4">
        <f>+(Tabla1[[#This Row],[Tmin media (°C)]]-Tabla1[[#This Row],[Tmin media (°C) historica]])/Tabla1[[#This Row],[Tmin media (°C) historica]]*100</f>
        <v>81.249999999999986</v>
      </c>
      <c r="N331" s="4">
        <f>+(Tabla1[[#This Row],[Tmedia media (°C)]]-Tabla1[[#This Row],[Tmedia media (°C) historica]])/Tabla1[[#This Row],[Tmedia media (°C) historica]]*100</f>
        <v>8.3333333333333286</v>
      </c>
      <c r="O331" s="4">
        <f>+(Tabla1[[#This Row],[Prec acum (mm)]]-Tabla1[[#This Row],[Prec acum (mm) historica]])/Tabla1[[#This Row],[Prec acum (mm) historica]]*100</f>
        <v>82.35294117647058</v>
      </c>
    </row>
    <row r="332" spans="1:15" hidden="1" x14ac:dyDescent="0.25">
      <c r="A332">
        <v>2004</v>
      </c>
      <c r="B332" t="s">
        <v>19</v>
      </c>
      <c r="C332" t="s">
        <v>22</v>
      </c>
      <c r="D332" s="6">
        <v>13.1</v>
      </c>
      <c r="E332" s="6">
        <v>1.6</v>
      </c>
      <c r="F332" s="6">
        <v>7.2</v>
      </c>
      <c r="G332" s="6">
        <v>34</v>
      </c>
      <c r="H332" s="10">
        <v>13.7</v>
      </c>
      <c r="I332" s="10">
        <v>2</v>
      </c>
      <c r="J332" s="10">
        <v>7.9</v>
      </c>
      <c r="K332" s="10">
        <v>78</v>
      </c>
      <c r="L332" s="3">
        <f>+(Tabla1[[#This Row],[Tmax media (°C)]]-Tabla1[[#This Row],[Tmax media (°C) historica]])/Tabla1[[#This Row],[Tmax media (°C) historica]]*100</f>
        <v>4.5801526717557222</v>
      </c>
      <c r="M332" s="3">
        <f>+(Tabla1[[#This Row],[Tmin media (°C)]]-Tabla1[[#This Row],[Tmin media (°C) historica]])/Tabla1[[#This Row],[Tmin media (°C) historica]]*100</f>
        <v>24.999999999999993</v>
      </c>
      <c r="N332" s="3">
        <f>+(Tabla1[[#This Row],[Tmedia media (°C)]]-Tabla1[[#This Row],[Tmedia media (°C) historica]])/Tabla1[[#This Row],[Tmedia media (°C) historica]]*100</f>
        <v>9.7222222222222232</v>
      </c>
      <c r="O332" s="3">
        <f>+(Tabla1[[#This Row],[Prec acum (mm)]]-Tabla1[[#This Row],[Prec acum (mm) historica]])/Tabla1[[#This Row],[Prec acum (mm) historica]]*100</f>
        <v>129.41176470588235</v>
      </c>
    </row>
    <row r="333" spans="1:15" hidden="1" x14ac:dyDescent="0.25">
      <c r="A333">
        <v>2015</v>
      </c>
      <c r="B333" t="s">
        <v>19</v>
      </c>
      <c r="C333" t="s">
        <v>22</v>
      </c>
      <c r="D333" s="6">
        <v>13.1</v>
      </c>
      <c r="E333" s="6">
        <v>1.6</v>
      </c>
      <c r="F333" s="6">
        <v>7.2</v>
      </c>
      <c r="G333" s="6">
        <v>34</v>
      </c>
      <c r="H333" s="10">
        <v>14.4</v>
      </c>
      <c r="I333" s="10">
        <v>2.6</v>
      </c>
      <c r="J333" s="10">
        <v>8.5</v>
      </c>
      <c r="K333" s="10">
        <v>52</v>
      </c>
      <c r="L333" s="4">
        <f>+(Tabla1[[#This Row],[Tmax media (°C)]]-Tabla1[[#This Row],[Tmax media (°C) historica]])/Tabla1[[#This Row],[Tmax media (°C) historica]]*100</f>
        <v>9.92366412213741</v>
      </c>
      <c r="M333" s="4">
        <f>+(Tabla1[[#This Row],[Tmin media (°C)]]-Tabla1[[#This Row],[Tmin media (°C) historica]])/Tabla1[[#This Row],[Tmin media (°C) historica]]*100</f>
        <v>62.5</v>
      </c>
      <c r="N333" s="4">
        <f>+(Tabla1[[#This Row],[Tmedia media (°C)]]-Tabla1[[#This Row],[Tmedia media (°C) historica]])/Tabla1[[#This Row],[Tmedia media (°C) historica]]*100</f>
        <v>18.055555555555554</v>
      </c>
      <c r="O333" s="4">
        <f>+(Tabla1[[#This Row],[Prec acum (mm)]]-Tabla1[[#This Row],[Prec acum (mm) historica]])/Tabla1[[#This Row],[Prec acum (mm) historica]]*100</f>
        <v>52.941176470588239</v>
      </c>
    </row>
    <row r="334" spans="1:15" hidden="1" x14ac:dyDescent="0.25">
      <c r="A334">
        <v>2023</v>
      </c>
      <c r="B334" t="s">
        <v>19</v>
      </c>
      <c r="C334" t="s">
        <v>22</v>
      </c>
      <c r="D334" s="6">
        <v>13.1</v>
      </c>
      <c r="E334" s="6">
        <v>1.6</v>
      </c>
      <c r="F334" s="6">
        <v>7.2</v>
      </c>
      <c r="G334" s="6">
        <v>34</v>
      </c>
      <c r="H334" s="10">
        <v>12.7</v>
      </c>
      <c r="I334" s="10">
        <v>3.5</v>
      </c>
      <c r="J334" s="10">
        <v>8.1</v>
      </c>
      <c r="K334" s="10">
        <v>61</v>
      </c>
      <c r="L334" s="3">
        <f>+(Tabla1[[#This Row],[Tmax media (°C)]]-Tabla1[[#This Row],[Tmax media (°C) historica]])/Tabla1[[#This Row],[Tmax media (°C) historica]]*100</f>
        <v>-3.0534351145038197</v>
      </c>
      <c r="M334" s="3">
        <f>+(Tabla1[[#This Row],[Tmin media (°C)]]-Tabla1[[#This Row],[Tmin media (°C) historica]])/Tabla1[[#This Row],[Tmin media (°C) historica]]*100</f>
        <v>118.74999999999997</v>
      </c>
      <c r="N334" s="3">
        <f>+(Tabla1[[#This Row],[Tmedia media (°C)]]-Tabla1[[#This Row],[Tmedia media (°C) historica]])/Tabla1[[#This Row],[Tmedia media (°C) historica]]*100</f>
        <v>12.499999999999991</v>
      </c>
      <c r="O334" s="3">
        <f>+(Tabla1[[#This Row],[Prec acum (mm)]]-Tabla1[[#This Row],[Prec acum (mm) historica]])/Tabla1[[#This Row],[Prec acum (mm) historica]]*100</f>
        <v>79.411764705882348</v>
      </c>
    </row>
    <row r="335" spans="1:15" hidden="1" x14ac:dyDescent="0.25">
      <c r="A335">
        <v>1982</v>
      </c>
      <c r="B335" t="s">
        <v>19</v>
      </c>
      <c r="C335" t="s">
        <v>23</v>
      </c>
      <c r="D335" s="6">
        <v>15.7</v>
      </c>
      <c r="E335" s="6">
        <v>3</v>
      </c>
      <c r="F335" s="6">
        <v>9.1</v>
      </c>
      <c r="G335" s="6">
        <v>37</v>
      </c>
      <c r="H335" s="10">
        <v>15.3</v>
      </c>
      <c r="I335" s="10">
        <v>2.7</v>
      </c>
      <c r="J335" s="10">
        <v>9</v>
      </c>
      <c r="K335" s="10">
        <v>7</v>
      </c>
      <c r="L335" s="3">
        <f>+(Tabla1[[#This Row],[Tmax media (°C)]]-Tabla1[[#This Row],[Tmax media (°C) historica]])/Tabla1[[#This Row],[Tmax media (°C) historica]]*100</f>
        <v>-2.5477707006369337</v>
      </c>
      <c r="M335" s="3">
        <f>+(Tabla1[[#This Row],[Tmin media (°C)]]-Tabla1[[#This Row],[Tmin media (°C) historica]])/Tabla1[[#This Row],[Tmin media (°C) historica]]*100</f>
        <v>-9.9999999999999929</v>
      </c>
      <c r="N335" s="3">
        <f>+(Tabla1[[#This Row],[Tmedia media (°C)]]-Tabla1[[#This Row],[Tmedia media (°C) historica]])/Tabla1[[#This Row],[Tmedia media (°C) historica]]*100</f>
        <v>-1.098901098901095</v>
      </c>
      <c r="O335" s="3">
        <f>+(Tabla1[[#This Row],[Prec acum (mm)]]-Tabla1[[#This Row],[Prec acum (mm) historica]])/Tabla1[[#This Row],[Prec acum (mm) historica]]*100</f>
        <v>-81.081081081081081</v>
      </c>
    </row>
    <row r="336" spans="1:15" hidden="1" x14ac:dyDescent="0.25">
      <c r="A336">
        <v>1987</v>
      </c>
      <c r="B336" t="s">
        <v>19</v>
      </c>
      <c r="C336" t="s">
        <v>23</v>
      </c>
      <c r="D336" s="6">
        <v>15.7</v>
      </c>
      <c r="E336" s="6">
        <v>3</v>
      </c>
      <c r="F336" s="6">
        <v>9.1</v>
      </c>
      <c r="G336" s="6">
        <v>37</v>
      </c>
      <c r="H336" s="10">
        <v>13.6</v>
      </c>
      <c r="I336" s="10">
        <v>3.8</v>
      </c>
      <c r="J336" s="10">
        <v>8.6999999999999993</v>
      </c>
      <c r="K336" s="10">
        <v>43</v>
      </c>
      <c r="L336" s="4">
        <f>+(Tabla1[[#This Row],[Tmax media (°C)]]-Tabla1[[#This Row],[Tmax media (°C) historica]])/Tabla1[[#This Row],[Tmax media (°C) historica]]*100</f>
        <v>-13.375796178343947</v>
      </c>
      <c r="M336" s="4">
        <f>+(Tabla1[[#This Row],[Tmin media (°C)]]-Tabla1[[#This Row],[Tmin media (°C) historica]])/Tabla1[[#This Row],[Tmin media (°C) historica]]*100</f>
        <v>26.666666666666661</v>
      </c>
      <c r="N336" s="4">
        <f>+(Tabla1[[#This Row],[Tmedia media (°C)]]-Tabla1[[#This Row],[Tmedia media (°C) historica]])/Tabla1[[#This Row],[Tmedia media (°C) historica]]*100</f>
        <v>-4.3956043956043995</v>
      </c>
      <c r="O336" s="4">
        <f>+(Tabla1[[#This Row],[Prec acum (mm)]]-Tabla1[[#This Row],[Prec acum (mm) historica]])/Tabla1[[#This Row],[Prec acum (mm) historica]]*100</f>
        <v>16.216216216216218</v>
      </c>
    </row>
    <row r="337" spans="1:15" hidden="1" x14ac:dyDescent="0.25">
      <c r="A337">
        <v>1991</v>
      </c>
      <c r="B337" t="s">
        <v>19</v>
      </c>
      <c r="C337" t="s">
        <v>23</v>
      </c>
      <c r="D337" s="6">
        <v>15.7</v>
      </c>
      <c r="E337" s="6">
        <v>2.8</v>
      </c>
      <c r="F337" s="6">
        <v>9.3000000000000007</v>
      </c>
      <c r="G337" s="6">
        <v>30</v>
      </c>
      <c r="H337" s="10">
        <v>15.6</v>
      </c>
      <c r="I337" s="10">
        <v>4.3</v>
      </c>
      <c r="J337" s="10">
        <v>10</v>
      </c>
      <c r="K337" s="10">
        <v>29</v>
      </c>
      <c r="L337" s="3">
        <f>+(Tabla1[[#This Row],[Tmax media (°C)]]-Tabla1[[#This Row],[Tmax media (°C) historica]])/Tabla1[[#This Row],[Tmax media (°C) historica]]*100</f>
        <v>-0.63694267515923342</v>
      </c>
      <c r="M337" s="3">
        <f>+(Tabla1[[#This Row],[Tmin media (°C)]]-Tabla1[[#This Row],[Tmin media (°C) historica]])/Tabla1[[#This Row],[Tmin media (°C) historica]]*100</f>
        <v>53.571428571428569</v>
      </c>
      <c r="N337" s="3">
        <f>+(Tabla1[[#This Row],[Tmedia media (°C)]]-Tabla1[[#This Row],[Tmedia media (°C) historica]])/Tabla1[[#This Row],[Tmedia media (°C) historica]]*100</f>
        <v>7.5268817204300991</v>
      </c>
      <c r="O337" s="3">
        <f>+(Tabla1[[#This Row],[Prec acum (mm)]]-Tabla1[[#This Row],[Prec acum (mm) historica]])/Tabla1[[#This Row],[Prec acum (mm) historica]]*100</f>
        <v>-3.3333333333333335</v>
      </c>
    </row>
    <row r="338" spans="1:15" hidden="1" x14ac:dyDescent="0.25">
      <c r="A338">
        <v>1994</v>
      </c>
      <c r="B338" t="s">
        <v>19</v>
      </c>
      <c r="C338" t="s">
        <v>23</v>
      </c>
      <c r="D338" s="6">
        <v>15.7</v>
      </c>
      <c r="E338" s="6">
        <v>2.8</v>
      </c>
      <c r="F338" s="6">
        <v>9.3000000000000007</v>
      </c>
      <c r="G338" s="6">
        <v>30</v>
      </c>
      <c r="H338" s="10">
        <v>15.7</v>
      </c>
      <c r="I338" s="10">
        <v>2.1</v>
      </c>
      <c r="J338" s="10">
        <v>8.9</v>
      </c>
      <c r="K338" s="10">
        <v>22</v>
      </c>
      <c r="L338" s="4">
        <f>+(Tabla1[[#This Row],[Tmax media (°C)]]-Tabla1[[#This Row],[Tmax media (°C) historica]])/Tabla1[[#This Row],[Tmax media (°C) historica]]*100</f>
        <v>0</v>
      </c>
      <c r="M338" s="4">
        <f>+(Tabla1[[#This Row],[Tmin media (°C)]]-Tabla1[[#This Row],[Tmin media (°C) historica]])/Tabla1[[#This Row],[Tmin media (°C) historica]]*100</f>
        <v>-24.999999999999993</v>
      </c>
      <c r="N338" s="4">
        <f>+(Tabla1[[#This Row],[Tmedia media (°C)]]-Tabla1[[#This Row],[Tmedia media (°C) historica]])/Tabla1[[#This Row],[Tmedia media (°C) historica]]*100</f>
        <v>-4.3010752688172085</v>
      </c>
      <c r="O338" s="4">
        <f>+(Tabla1[[#This Row],[Prec acum (mm)]]-Tabla1[[#This Row],[Prec acum (mm) historica]])/Tabla1[[#This Row],[Prec acum (mm) historica]]*100</f>
        <v>-26.666666666666668</v>
      </c>
    </row>
    <row r="339" spans="1:15" hidden="1" x14ac:dyDescent="0.25">
      <c r="A339">
        <v>1997</v>
      </c>
      <c r="B339" t="s">
        <v>19</v>
      </c>
      <c r="C339" t="s">
        <v>23</v>
      </c>
      <c r="D339" s="6">
        <v>15.7</v>
      </c>
      <c r="E339" s="6">
        <v>2.8</v>
      </c>
      <c r="F339" s="6">
        <v>9.3000000000000007</v>
      </c>
      <c r="G339" s="6">
        <v>30</v>
      </c>
      <c r="H339" s="10">
        <v>15.4</v>
      </c>
      <c r="I339" s="10">
        <v>4.5</v>
      </c>
      <c r="J339" s="10">
        <v>10</v>
      </c>
      <c r="K339" s="10">
        <v>67</v>
      </c>
      <c r="L339" s="3">
        <f>+(Tabla1[[#This Row],[Tmax media (°C)]]-Tabla1[[#This Row],[Tmax media (°C) historica]])/Tabla1[[#This Row],[Tmax media (°C) historica]]*100</f>
        <v>-1.9108280254777004</v>
      </c>
      <c r="M339" s="3">
        <f>+(Tabla1[[#This Row],[Tmin media (°C)]]-Tabla1[[#This Row],[Tmin media (°C) historica]])/Tabla1[[#This Row],[Tmin media (°C) historica]]*100</f>
        <v>60.714285714285722</v>
      </c>
      <c r="N339" s="3">
        <f>+(Tabla1[[#This Row],[Tmedia media (°C)]]-Tabla1[[#This Row],[Tmedia media (°C) historica]])/Tabla1[[#This Row],[Tmedia media (°C) historica]]*100</f>
        <v>7.5268817204300991</v>
      </c>
      <c r="O339" s="3">
        <f>+(Tabla1[[#This Row],[Prec acum (mm)]]-Tabla1[[#This Row],[Prec acum (mm) historica]])/Tabla1[[#This Row],[Prec acum (mm) historica]]*100</f>
        <v>123.33333333333334</v>
      </c>
    </row>
    <row r="340" spans="1:15" hidden="1" x14ac:dyDescent="0.25">
      <c r="A340">
        <v>2002</v>
      </c>
      <c r="B340" t="s">
        <v>19</v>
      </c>
      <c r="C340" t="s">
        <v>23</v>
      </c>
      <c r="D340" s="6">
        <v>15.7</v>
      </c>
      <c r="E340" s="6">
        <v>2.8</v>
      </c>
      <c r="F340" s="6">
        <v>9.3000000000000007</v>
      </c>
      <c r="G340" s="6">
        <v>30</v>
      </c>
      <c r="H340" s="10">
        <v>15.1</v>
      </c>
      <c r="I340" s="10">
        <v>5.4</v>
      </c>
      <c r="J340" s="10">
        <v>10.199999999999999</v>
      </c>
      <c r="K340" s="10">
        <v>124</v>
      </c>
      <c r="L340" s="4">
        <f>+(Tabla1[[#This Row],[Tmax media (°C)]]-Tabla1[[#This Row],[Tmax media (°C) historica]])/Tabla1[[#This Row],[Tmax media (°C) historica]]*100</f>
        <v>-3.8216560509554118</v>
      </c>
      <c r="M340" s="4">
        <f>+(Tabla1[[#This Row],[Tmin media (°C)]]-Tabla1[[#This Row],[Tmin media (°C) historica]])/Tabla1[[#This Row],[Tmin media (°C) historica]]*100</f>
        <v>92.85714285714289</v>
      </c>
      <c r="N340" s="4">
        <f>+(Tabla1[[#This Row],[Tmedia media (°C)]]-Tabla1[[#This Row],[Tmedia media (°C) historica]])/Tabla1[[#This Row],[Tmedia media (°C) historica]]*100</f>
        <v>9.677419354838694</v>
      </c>
      <c r="O340" s="4">
        <f>+(Tabla1[[#This Row],[Prec acum (mm)]]-Tabla1[[#This Row],[Prec acum (mm) historica]])/Tabla1[[#This Row],[Prec acum (mm) historica]]*100</f>
        <v>313.33333333333331</v>
      </c>
    </row>
    <row r="341" spans="1:15" hidden="1" x14ac:dyDescent="0.25">
      <c r="A341">
        <v>2004</v>
      </c>
      <c r="B341" t="s">
        <v>19</v>
      </c>
      <c r="C341" t="s">
        <v>23</v>
      </c>
      <c r="D341" s="6">
        <v>15.7</v>
      </c>
      <c r="E341" s="6">
        <v>2.8</v>
      </c>
      <c r="F341" s="6">
        <v>9.3000000000000007</v>
      </c>
      <c r="G341" s="6">
        <v>30</v>
      </c>
      <c r="H341" s="10">
        <v>14.5</v>
      </c>
      <c r="I341" s="10">
        <v>4</v>
      </c>
      <c r="J341" s="10">
        <v>9.1999999999999993</v>
      </c>
      <c r="K341" s="10">
        <v>112</v>
      </c>
      <c r="L341" s="3">
        <f>+(Tabla1[[#This Row],[Tmax media (°C)]]-Tabla1[[#This Row],[Tmax media (°C) historica]])/Tabla1[[#This Row],[Tmax media (°C) historica]]*100</f>
        <v>-7.6433121019108237</v>
      </c>
      <c r="M341" s="3">
        <f>+(Tabla1[[#This Row],[Tmin media (°C)]]-Tabla1[[#This Row],[Tmin media (°C) historica]])/Tabla1[[#This Row],[Tmin media (°C) historica]]*100</f>
        <v>42.857142857142868</v>
      </c>
      <c r="N341" s="3">
        <f>+(Tabla1[[#This Row],[Tmedia media (°C)]]-Tabla1[[#This Row],[Tmedia media (°C) historica]])/Tabla1[[#This Row],[Tmedia media (°C) historica]]*100</f>
        <v>-1.0752688172043163</v>
      </c>
      <c r="O341" s="3">
        <f>+(Tabla1[[#This Row],[Prec acum (mm)]]-Tabla1[[#This Row],[Prec acum (mm) historica]])/Tabla1[[#This Row],[Prec acum (mm) historica]]*100</f>
        <v>273.33333333333331</v>
      </c>
    </row>
    <row r="342" spans="1:15" hidden="1" x14ac:dyDescent="0.25">
      <c r="A342">
        <v>2015</v>
      </c>
      <c r="B342" t="s">
        <v>19</v>
      </c>
      <c r="C342" t="s">
        <v>23</v>
      </c>
      <c r="D342" s="6">
        <v>15.7</v>
      </c>
      <c r="E342" s="6">
        <v>2.8</v>
      </c>
      <c r="F342" s="6">
        <v>9.3000000000000007</v>
      </c>
      <c r="G342" s="6">
        <v>30</v>
      </c>
      <c r="H342" s="10">
        <v>15.9</v>
      </c>
      <c r="I342" s="10">
        <v>6</v>
      </c>
      <c r="J342" s="10">
        <v>11</v>
      </c>
      <c r="K342" s="10">
        <v>119</v>
      </c>
      <c r="L342" s="4">
        <f>+(Tabla1[[#This Row],[Tmax media (°C)]]-Tabla1[[#This Row],[Tmax media (°C) historica]])/Tabla1[[#This Row],[Tmax media (°C) historica]]*100</f>
        <v>1.2738853503184782</v>
      </c>
      <c r="M342" s="4">
        <f>+(Tabla1[[#This Row],[Tmin media (°C)]]-Tabla1[[#This Row],[Tmin media (°C) historica]])/Tabla1[[#This Row],[Tmin media (°C) historica]]*100</f>
        <v>114.28571428571431</v>
      </c>
      <c r="N342" s="4">
        <f>+(Tabla1[[#This Row],[Tmedia media (°C)]]-Tabla1[[#This Row],[Tmedia media (°C) historica]])/Tabla1[[#This Row],[Tmedia media (°C) historica]]*100</f>
        <v>18.279569892473109</v>
      </c>
      <c r="O342" s="4">
        <f>+(Tabla1[[#This Row],[Prec acum (mm)]]-Tabla1[[#This Row],[Prec acum (mm) historica]])/Tabla1[[#This Row],[Prec acum (mm) historica]]*100</f>
        <v>296.66666666666669</v>
      </c>
    </row>
    <row r="343" spans="1:15" hidden="1" x14ac:dyDescent="0.25">
      <c r="A343">
        <v>2023</v>
      </c>
      <c r="B343" t="s">
        <v>19</v>
      </c>
      <c r="C343" t="s">
        <v>23</v>
      </c>
      <c r="D343" s="6">
        <v>15.7</v>
      </c>
      <c r="E343" s="6">
        <v>2.8</v>
      </c>
      <c r="F343" s="6">
        <v>9.3000000000000007</v>
      </c>
      <c r="G343" s="6">
        <v>30</v>
      </c>
      <c r="H343" s="10">
        <v>15.6</v>
      </c>
      <c r="I343" s="10">
        <v>2.7</v>
      </c>
      <c r="J343" s="10">
        <v>9.1</v>
      </c>
      <c r="K343" s="10">
        <v>21</v>
      </c>
      <c r="L343" s="3">
        <f>+(Tabla1[[#This Row],[Tmax media (°C)]]-Tabla1[[#This Row],[Tmax media (°C) historica]])/Tabla1[[#This Row],[Tmax media (°C) historica]]*100</f>
        <v>-0.63694267515923342</v>
      </c>
      <c r="M343" s="3">
        <f>+(Tabla1[[#This Row],[Tmin media (°C)]]-Tabla1[[#This Row],[Tmin media (°C) historica]])/Tabla1[[#This Row],[Tmin media (°C) historica]]*100</f>
        <v>-3.5714285714285587</v>
      </c>
      <c r="N343" s="3">
        <f>+(Tabla1[[#This Row],[Tmedia media (°C)]]-Tabla1[[#This Row],[Tmedia media (°C) historica]])/Tabla1[[#This Row],[Tmedia media (°C) historica]]*100</f>
        <v>-2.1505376344086136</v>
      </c>
      <c r="O343" s="3">
        <f>+(Tabla1[[#This Row],[Prec acum (mm)]]-Tabla1[[#This Row],[Prec acum (mm) historica]])/Tabla1[[#This Row],[Prec acum (mm) historica]]*100</f>
        <v>-30</v>
      </c>
    </row>
    <row r="344" spans="1:15" hidden="1" x14ac:dyDescent="0.25">
      <c r="A344">
        <v>1982</v>
      </c>
      <c r="B344" t="s">
        <v>19</v>
      </c>
      <c r="C344" t="s">
        <v>24</v>
      </c>
      <c r="D344" s="6">
        <v>17.399999999999999</v>
      </c>
      <c r="E344" s="6">
        <v>3.6</v>
      </c>
      <c r="F344" s="6">
        <v>10.9</v>
      </c>
      <c r="G344" s="6">
        <v>51</v>
      </c>
      <c r="H344" s="10">
        <v>17.3</v>
      </c>
      <c r="I344" s="10">
        <v>6.7</v>
      </c>
      <c r="J344" s="10">
        <v>12</v>
      </c>
      <c r="K344" s="10">
        <v>116</v>
      </c>
      <c r="L344" s="3">
        <f>+(Tabla1[[#This Row],[Tmax media (°C)]]-Tabla1[[#This Row],[Tmax media (°C) historica]])/Tabla1[[#This Row],[Tmax media (°C) historica]]*100</f>
        <v>-0.57471264367814867</v>
      </c>
      <c r="M344" s="3">
        <f>+(Tabla1[[#This Row],[Tmin media (°C)]]-Tabla1[[#This Row],[Tmin media (°C) historica]])/Tabla1[[#This Row],[Tmin media (°C) historica]]*100</f>
        <v>86.111111111111114</v>
      </c>
      <c r="N344" s="3">
        <f>+(Tabla1[[#This Row],[Tmedia media (°C)]]-Tabla1[[#This Row],[Tmedia media (°C) historica]])/Tabla1[[#This Row],[Tmedia media (°C) historica]]*100</f>
        <v>10.091743119266052</v>
      </c>
      <c r="O344" s="3">
        <f>+(Tabla1[[#This Row],[Prec acum (mm)]]-Tabla1[[#This Row],[Prec acum (mm) historica]])/Tabla1[[#This Row],[Prec acum (mm) historica]]*100</f>
        <v>127.45098039215685</v>
      </c>
    </row>
    <row r="345" spans="1:15" hidden="1" x14ac:dyDescent="0.25">
      <c r="A345">
        <v>1987</v>
      </c>
      <c r="B345" t="s">
        <v>19</v>
      </c>
      <c r="C345" t="s">
        <v>24</v>
      </c>
      <c r="D345" s="6">
        <v>17.399999999999999</v>
      </c>
      <c r="E345" s="6">
        <v>3.6</v>
      </c>
      <c r="F345" s="6">
        <v>10.9</v>
      </c>
      <c r="G345" s="6">
        <v>51</v>
      </c>
      <c r="H345" s="10">
        <v>16.2</v>
      </c>
      <c r="I345" s="10">
        <v>3.4</v>
      </c>
      <c r="J345" s="10">
        <v>9.8000000000000007</v>
      </c>
      <c r="K345" s="10">
        <v>28</v>
      </c>
      <c r="L345" s="4">
        <f>+(Tabla1[[#This Row],[Tmax media (°C)]]-Tabla1[[#This Row],[Tmax media (°C) historica]])/Tabla1[[#This Row],[Tmax media (°C) historica]]*100</f>
        <v>-6.8965517241379279</v>
      </c>
      <c r="M345" s="4">
        <f>+(Tabla1[[#This Row],[Tmin media (°C)]]-Tabla1[[#This Row],[Tmin media (°C) historica]])/Tabla1[[#This Row],[Tmin media (°C) historica]]*100</f>
        <v>-5.5555555555555598</v>
      </c>
      <c r="N345" s="4">
        <f>+(Tabla1[[#This Row],[Tmedia media (°C)]]-Tabla1[[#This Row],[Tmedia media (°C) historica]])/Tabla1[[#This Row],[Tmedia media (°C) historica]]*100</f>
        <v>-10.091743119266052</v>
      </c>
      <c r="O345" s="4">
        <f>+(Tabla1[[#This Row],[Prec acum (mm)]]-Tabla1[[#This Row],[Prec acum (mm) historica]])/Tabla1[[#This Row],[Prec acum (mm) historica]]*100</f>
        <v>-45.098039215686278</v>
      </c>
    </row>
    <row r="346" spans="1:15" hidden="1" x14ac:dyDescent="0.25">
      <c r="A346">
        <v>1991</v>
      </c>
      <c r="B346" t="s">
        <v>19</v>
      </c>
      <c r="C346" t="s">
        <v>24</v>
      </c>
      <c r="D346" s="6">
        <v>17.600000000000001</v>
      </c>
      <c r="E346" s="6">
        <v>3.9</v>
      </c>
      <c r="F346" s="6">
        <v>10.9</v>
      </c>
      <c r="G346" s="6">
        <v>59</v>
      </c>
      <c r="H346" s="10">
        <v>17.899999999999999</v>
      </c>
      <c r="I346" s="10">
        <v>7.1</v>
      </c>
      <c r="J346" s="10">
        <v>12.5</v>
      </c>
      <c r="K346" s="10">
        <v>68</v>
      </c>
      <c r="L346" s="3">
        <f>+(Tabla1[[#This Row],[Tmax media (°C)]]-Tabla1[[#This Row],[Tmax media (°C) historica]])/Tabla1[[#This Row],[Tmax media (°C) historica]]*100</f>
        <v>1.7045454545454382</v>
      </c>
      <c r="M346" s="3">
        <f>+(Tabla1[[#This Row],[Tmin media (°C)]]-Tabla1[[#This Row],[Tmin media (°C) historica]])/Tabla1[[#This Row],[Tmin media (°C) historica]]*100</f>
        <v>82.051282051282044</v>
      </c>
      <c r="N346" s="3">
        <f>+(Tabla1[[#This Row],[Tmedia media (°C)]]-Tabla1[[#This Row],[Tmedia media (°C) historica]])/Tabla1[[#This Row],[Tmedia media (°C) historica]]*100</f>
        <v>14.678899082568803</v>
      </c>
      <c r="O346" s="3">
        <f>+(Tabla1[[#This Row],[Prec acum (mm)]]-Tabla1[[#This Row],[Prec acum (mm) historica]])/Tabla1[[#This Row],[Prec acum (mm) historica]]*100</f>
        <v>15.254237288135593</v>
      </c>
    </row>
    <row r="347" spans="1:15" hidden="1" x14ac:dyDescent="0.25">
      <c r="A347">
        <v>1994</v>
      </c>
      <c r="B347" t="s">
        <v>19</v>
      </c>
      <c r="C347" t="s">
        <v>24</v>
      </c>
      <c r="D347" s="6">
        <v>17.600000000000001</v>
      </c>
      <c r="E347" s="6">
        <v>3.9</v>
      </c>
      <c r="F347" s="6">
        <v>10.9</v>
      </c>
      <c r="G347" s="6">
        <v>59</v>
      </c>
      <c r="H347" s="10">
        <v>17.7</v>
      </c>
      <c r="I347" s="10">
        <v>5.5</v>
      </c>
      <c r="J347" s="10">
        <v>11.6</v>
      </c>
      <c r="K347" s="10">
        <v>46</v>
      </c>
      <c r="L347" s="4">
        <f>+(Tabla1[[#This Row],[Tmax media (°C)]]-Tabla1[[#This Row],[Tmax media (°C) historica]])/Tabla1[[#This Row],[Tmax media (°C) historica]]*100</f>
        <v>0.56818181818180602</v>
      </c>
      <c r="M347" s="4">
        <f>+(Tabla1[[#This Row],[Tmin media (°C)]]-Tabla1[[#This Row],[Tmin media (°C) historica]])/Tabla1[[#This Row],[Tmin media (°C) historica]]*100</f>
        <v>41.025641025641029</v>
      </c>
      <c r="N347" s="4">
        <f>+(Tabla1[[#This Row],[Tmedia media (°C)]]-Tabla1[[#This Row],[Tmedia media (°C) historica]])/Tabla1[[#This Row],[Tmedia media (°C) historica]]*100</f>
        <v>6.4220183486238467</v>
      </c>
      <c r="O347" s="4">
        <f>+(Tabla1[[#This Row],[Prec acum (mm)]]-Tabla1[[#This Row],[Prec acum (mm) historica]])/Tabla1[[#This Row],[Prec acum (mm) historica]]*100</f>
        <v>-22.033898305084744</v>
      </c>
    </row>
    <row r="348" spans="1:15" hidden="1" x14ac:dyDescent="0.25">
      <c r="A348">
        <v>1997</v>
      </c>
      <c r="B348" t="s">
        <v>19</v>
      </c>
      <c r="C348" t="s">
        <v>24</v>
      </c>
      <c r="D348" s="6">
        <v>17.600000000000001</v>
      </c>
      <c r="E348" s="6">
        <v>3.9</v>
      </c>
      <c r="F348" s="6">
        <v>10.9</v>
      </c>
      <c r="G348" s="6">
        <v>59</v>
      </c>
      <c r="H348" s="10">
        <v>16.5</v>
      </c>
      <c r="I348" s="10">
        <v>3.4</v>
      </c>
      <c r="J348" s="10">
        <v>10</v>
      </c>
      <c r="K348" s="10">
        <v>15</v>
      </c>
      <c r="L348" s="3">
        <f>+(Tabla1[[#This Row],[Tmax media (°C)]]-Tabla1[[#This Row],[Tmax media (°C) historica]])/Tabla1[[#This Row],[Tmax media (°C) historica]]*100</f>
        <v>-6.2500000000000071</v>
      </c>
      <c r="M348" s="3">
        <f>+(Tabla1[[#This Row],[Tmin media (°C)]]-Tabla1[[#This Row],[Tmin media (°C) historica]])/Tabla1[[#This Row],[Tmin media (°C) historica]]*100</f>
        <v>-12.820512820512823</v>
      </c>
      <c r="N348" s="3">
        <f>+(Tabla1[[#This Row],[Tmedia media (°C)]]-Tabla1[[#This Row],[Tmedia media (°C) historica]])/Tabla1[[#This Row],[Tmedia media (°C) historica]]*100</f>
        <v>-8.256880733944957</v>
      </c>
      <c r="O348" s="3">
        <f>+(Tabla1[[#This Row],[Prec acum (mm)]]-Tabla1[[#This Row],[Prec acum (mm) historica]])/Tabla1[[#This Row],[Prec acum (mm) historica]]*100</f>
        <v>-74.576271186440678</v>
      </c>
    </row>
    <row r="349" spans="1:15" hidden="1" x14ac:dyDescent="0.25">
      <c r="A349">
        <v>2002</v>
      </c>
      <c r="B349" t="s">
        <v>19</v>
      </c>
      <c r="C349" t="s">
        <v>24</v>
      </c>
      <c r="D349" s="6">
        <v>17.600000000000001</v>
      </c>
      <c r="E349" s="6">
        <v>3.9</v>
      </c>
      <c r="F349" s="6">
        <v>10.9</v>
      </c>
      <c r="G349" s="6">
        <v>59</v>
      </c>
      <c r="H349" s="10">
        <v>16.899999999999999</v>
      </c>
      <c r="I349" s="10">
        <v>5.8</v>
      </c>
      <c r="J349" s="10">
        <v>11.3</v>
      </c>
      <c r="K349" s="10">
        <v>89</v>
      </c>
      <c r="L349" s="4">
        <f>+(Tabla1[[#This Row],[Tmax media (°C)]]-Tabla1[[#This Row],[Tmax media (°C) historica]])/Tabla1[[#This Row],[Tmax media (°C) historica]]*100</f>
        <v>-3.9772727272727431</v>
      </c>
      <c r="M349" s="4">
        <f>+(Tabla1[[#This Row],[Tmin media (°C)]]-Tabla1[[#This Row],[Tmin media (°C) historica]])/Tabla1[[#This Row],[Tmin media (°C) historica]]*100</f>
        <v>48.717948717948715</v>
      </c>
      <c r="N349" s="4">
        <f>+(Tabla1[[#This Row],[Tmedia media (°C)]]-Tabla1[[#This Row],[Tmedia media (°C) historica]])/Tabla1[[#This Row],[Tmedia media (°C) historica]]*100</f>
        <v>3.6697247706422047</v>
      </c>
      <c r="O349" s="4">
        <f>+(Tabla1[[#This Row],[Prec acum (mm)]]-Tabla1[[#This Row],[Prec acum (mm) historica]])/Tabla1[[#This Row],[Prec acum (mm) historica]]*100</f>
        <v>50.847457627118644</v>
      </c>
    </row>
    <row r="350" spans="1:15" hidden="1" x14ac:dyDescent="0.25">
      <c r="A350">
        <v>2004</v>
      </c>
      <c r="B350" t="s">
        <v>19</v>
      </c>
      <c r="C350" t="s">
        <v>24</v>
      </c>
      <c r="D350" s="6">
        <v>17.600000000000001</v>
      </c>
      <c r="E350" s="6">
        <v>3.9</v>
      </c>
      <c r="F350" s="6">
        <v>10.9</v>
      </c>
      <c r="G350" s="6">
        <v>59</v>
      </c>
      <c r="H350" s="10">
        <v>18.2</v>
      </c>
      <c r="I350" s="10">
        <v>3.7</v>
      </c>
      <c r="J350" s="10">
        <v>10.9</v>
      </c>
      <c r="K350" s="10">
        <v>17</v>
      </c>
      <c r="L350" s="3">
        <f>+(Tabla1[[#This Row],[Tmax media (°C)]]-Tabla1[[#This Row],[Tmax media (°C) historica]])/Tabla1[[#This Row],[Tmax media (°C) historica]]*100</f>
        <v>3.4090909090908972</v>
      </c>
      <c r="M350" s="3">
        <f>+(Tabla1[[#This Row],[Tmin media (°C)]]-Tabla1[[#This Row],[Tmin media (°C) historica]])/Tabla1[[#This Row],[Tmin media (°C) historica]]*100</f>
        <v>-5.1282051282051215</v>
      </c>
      <c r="N350" s="3">
        <f>+(Tabla1[[#This Row],[Tmedia media (°C)]]-Tabla1[[#This Row],[Tmedia media (°C) historica]])/Tabla1[[#This Row],[Tmedia media (°C) historica]]*100</f>
        <v>0</v>
      </c>
      <c r="O350" s="3">
        <f>+(Tabla1[[#This Row],[Prec acum (mm)]]-Tabla1[[#This Row],[Prec acum (mm) historica]])/Tabla1[[#This Row],[Prec acum (mm) historica]]*100</f>
        <v>-71.186440677966104</v>
      </c>
    </row>
    <row r="351" spans="1:15" hidden="1" x14ac:dyDescent="0.25">
      <c r="A351">
        <v>2015</v>
      </c>
      <c r="B351" t="s">
        <v>19</v>
      </c>
      <c r="C351" t="s">
        <v>24</v>
      </c>
      <c r="D351" s="6">
        <v>17.600000000000001</v>
      </c>
      <c r="E351" s="6">
        <v>3.9</v>
      </c>
      <c r="F351" s="6">
        <v>10.9</v>
      </c>
      <c r="G351" s="6">
        <v>59</v>
      </c>
      <c r="H351" s="10">
        <v>16.899999999999999</v>
      </c>
      <c r="I351" s="10">
        <v>3.5</v>
      </c>
      <c r="J351" s="10">
        <v>10.199999999999999</v>
      </c>
      <c r="K351" s="10">
        <v>10</v>
      </c>
      <c r="L351" s="4">
        <f>+(Tabla1[[#This Row],[Tmax media (°C)]]-Tabla1[[#This Row],[Tmax media (°C) historica]])/Tabla1[[#This Row],[Tmax media (°C) historica]]*100</f>
        <v>-3.9772727272727431</v>
      </c>
      <c r="M351" s="4">
        <f>+(Tabla1[[#This Row],[Tmin media (°C)]]-Tabla1[[#This Row],[Tmin media (°C) historica]])/Tabla1[[#This Row],[Tmin media (°C) historica]]*100</f>
        <v>-10.256410256410255</v>
      </c>
      <c r="N351" s="4">
        <f>+(Tabla1[[#This Row],[Tmedia media (°C)]]-Tabla1[[#This Row],[Tmedia media (°C) historica]])/Tabla1[[#This Row],[Tmedia media (°C) historica]]*100</f>
        <v>-6.4220183486238636</v>
      </c>
      <c r="O351" s="4">
        <f>+(Tabla1[[#This Row],[Prec acum (mm)]]-Tabla1[[#This Row],[Prec acum (mm) historica]])/Tabla1[[#This Row],[Prec acum (mm) historica]]*100</f>
        <v>-83.050847457627114</v>
      </c>
    </row>
    <row r="352" spans="1:15" hidden="1" x14ac:dyDescent="0.25">
      <c r="A352">
        <v>2023</v>
      </c>
      <c r="B352" t="s">
        <v>19</v>
      </c>
      <c r="C352" t="s">
        <v>24</v>
      </c>
      <c r="D352" s="6">
        <v>17.600000000000001</v>
      </c>
      <c r="E352" s="6">
        <v>3.9</v>
      </c>
      <c r="F352" s="6">
        <v>10.9</v>
      </c>
      <c r="G352" s="6">
        <v>59</v>
      </c>
      <c r="H352" s="10">
        <v>16.899999999999999</v>
      </c>
      <c r="I352" s="10">
        <v>4.7</v>
      </c>
      <c r="J352" s="10">
        <v>10.8</v>
      </c>
      <c r="K352" s="10">
        <v>39</v>
      </c>
      <c r="L352" s="3">
        <f>+(Tabla1[[#This Row],[Tmax media (°C)]]-Tabla1[[#This Row],[Tmax media (°C) historica]])/Tabla1[[#This Row],[Tmax media (°C) historica]]*100</f>
        <v>-3.9772727272727431</v>
      </c>
      <c r="M352" s="3">
        <f>+(Tabla1[[#This Row],[Tmin media (°C)]]-Tabla1[[#This Row],[Tmin media (°C) historica]])/Tabla1[[#This Row],[Tmin media (°C) historica]]*100</f>
        <v>20.512820512820522</v>
      </c>
      <c r="N352" s="3">
        <f>+(Tabla1[[#This Row],[Tmedia media (°C)]]-Tabla1[[#This Row],[Tmedia media (°C) historica]])/Tabla1[[#This Row],[Tmedia media (°C) historica]]*100</f>
        <v>-0.91743119266054718</v>
      </c>
      <c r="O352" s="3">
        <f>+(Tabla1[[#This Row],[Prec acum (mm)]]-Tabla1[[#This Row],[Prec acum (mm) historica]])/Tabla1[[#This Row],[Prec acum (mm) historica]]*100</f>
        <v>-33.898305084745758</v>
      </c>
    </row>
    <row r="353" spans="1:15" hidden="1" x14ac:dyDescent="0.25">
      <c r="A353">
        <v>1982</v>
      </c>
      <c r="B353" t="s">
        <v>19</v>
      </c>
      <c r="C353" t="s">
        <v>25</v>
      </c>
      <c r="D353" s="6">
        <v>20.5</v>
      </c>
      <c r="E353" s="6">
        <v>7.9</v>
      </c>
      <c r="F353" s="6">
        <v>14.4</v>
      </c>
      <c r="G353" s="6">
        <v>80</v>
      </c>
      <c r="H353" s="10">
        <v>20.2</v>
      </c>
      <c r="I353" s="10">
        <v>6.7</v>
      </c>
      <c r="J353" s="10">
        <v>13.4</v>
      </c>
      <c r="K353" s="10">
        <v>164</v>
      </c>
      <c r="L353" s="3">
        <f>+(Tabla1[[#This Row],[Tmax media (°C)]]-Tabla1[[#This Row],[Tmax media (°C) historica]])/Tabla1[[#This Row],[Tmax media (°C) historica]]*100</f>
        <v>-1.4634146341463448</v>
      </c>
      <c r="M353" s="3">
        <f>+(Tabla1[[#This Row],[Tmin media (°C)]]-Tabla1[[#This Row],[Tmin media (°C) historica]])/Tabla1[[#This Row],[Tmin media (°C) historica]]*100</f>
        <v>-15.18987341772152</v>
      </c>
      <c r="N353" s="3">
        <f>+(Tabla1[[#This Row],[Tmedia media (°C)]]-Tabla1[[#This Row],[Tmedia media (°C) historica]])/Tabla1[[#This Row],[Tmedia media (°C) historica]]*100</f>
        <v>-6.9444444444444446</v>
      </c>
      <c r="O353" s="3">
        <f>+(Tabla1[[#This Row],[Prec acum (mm)]]-Tabla1[[#This Row],[Prec acum (mm) historica]])/Tabla1[[#This Row],[Prec acum (mm) historica]]*100</f>
        <v>105</v>
      </c>
    </row>
    <row r="354" spans="1:15" hidden="1" x14ac:dyDescent="0.25">
      <c r="A354">
        <v>1987</v>
      </c>
      <c r="B354" t="s">
        <v>19</v>
      </c>
      <c r="C354" t="s">
        <v>25</v>
      </c>
      <c r="D354" s="6">
        <v>20.5</v>
      </c>
      <c r="E354" s="6">
        <v>7.9</v>
      </c>
      <c r="F354" s="6">
        <v>14.4</v>
      </c>
      <c r="G354" s="6">
        <v>80</v>
      </c>
      <c r="H354" s="10">
        <v>20.5</v>
      </c>
      <c r="I354" s="10">
        <v>8.1999999999999993</v>
      </c>
      <c r="J354" s="10">
        <v>14.4</v>
      </c>
      <c r="K354" s="10">
        <v>74</v>
      </c>
      <c r="L354" s="4">
        <f>+(Tabla1[[#This Row],[Tmax media (°C)]]-Tabla1[[#This Row],[Tmax media (°C) historica]])/Tabla1[[#This Row],[Tmax media (°C) historica]]*100</f>
        <v>0</v>
      </c>
      <c r="M354" s="4">
        <f>+(Tabla1[[#This Row],[Tmin media (°C)]]-Tabla1[[#This Row],[Tmin media (°C) historica]])/Tabla1[[#This Row],[Tmin media (°C) historica]]*100</f>
        <v>3.7974683544303658</v>
      </c>
      <c r="N354" s="4">
        <f>+(Tabla1[[#This Row],[Tmedia media (°C)]]-Tabla1[[#This Row],[Tmedia media (°C) historica]])/Tabla1[[#This Row],[Tmedia media (°C) historica]]*100</f>
        <v>0</v>
      </c>
      <c r="O354" s="4">
        <f>+(Tabla1[[#This Row],[Prec acum (mm)]]-Tabla1[[#This Row],[Prec acum (mm) historica]])/Tabla1[[#This Row],[Prec acum (mm) historica]]*100</f>
        <v>-7.5</v>
      </c>
    </row>
    <row r="355" spans="1:15" hidden="1" x14ac:dyDescent="0.25">
      <c r="A355">
        <v>1991</v>
      </c>
      <c r="B355" t="s">
        <v>19</v>
      </c>
      <c r="C355" t="s">
        <v>25</v>
      </c>
      <c r="D355" s="6">
        <v>20.8</v>
      </c>
      <c r="E355" s="6">
        <v>7.7</v>
      </c>
      <c r="F355" s="6">
        <v>13.9</v>
      </c>
      <c r="G355" s="6">
        <v>78</v>
      </c>
      <c r="H355" s="10">
        <v>20</v>
      </c>
      <c r="I355" s="10">
        <v>6.7</v>
      </c>
      <c r="J355" s="10">
        <v>13.3</v>
      </c>
      <c r="K355" s="10">
        <v>54</v>
      </c>
      <c r="L355" s="3">
        <f>+(Tabla1[[#This Row],[Tmax media (°C)]]-Tabla1[[#This Row],[Tmax media (°C) historica]])/Tabla1[[#This Row],[Tmax media (°C) historica]]*100</f>
        <v>-3.8461538461538494</v>
      </c>
      <c r="M355" s="3">
        <f>+(Tabla1[[#This Row],[Tmin media (°C)]]-Tabla1[[#This Row],[Tmin media (°C) historica]])/Tabla1[[#This Row],[Tmin media (°C) historica]]*100</f>
        <v>-12.987012987012985</v>
      </c>
      <c r="N355" s="3">
        <f>+(Tabla1[[#This Row],[Tmedia media (°C)]]-Tabla1[[#This Row],[Tmedia media (°C) historica]])/Tabla1[[#This Row],[Tmedia media (°C) historica]]*100</f>
        <v>-4.3165467625899252</v>
      </c>
      <c r="O355" s="3">
        <f>+(Tabla1[[#This Row],[Prec acum (mm)]]-Tabla1[[#This Row],[Prec acum (mm) historica]])/Tabla1[[#This Row],[Prec acum (mm) historica]]*100</f>
        <v>-30.76923076923077</v>
      </c>
    </row>
    <row r="356" spans="1:15" hidden="1" x14ac:dyDescent="0.25">
      <c r="A356">
        <v>1994</v>
      </c>
      <c r="B356" t="s">
        <v>19</v>
      </c>
      <c r="C356" t="s">
        <v>25</v>
      </c>
      <c r="D356" s="6">
        <v>20.8</v>
      </c>
      <c r="E356" s="6">
        <v>7.7</v>
      </c>
      <c r="F356" s="6">
        <v>13.9</v>
      </c>
      <c r="G356" s="6">
        <v>78</v>
      </c>
      <c r="H356" s="10">
        <v>18.899999999999999</v>
      </c>
      <c r="I356" s="10">
        <v>7.6</v>
      </c>
      <c r="J356" s="10">
        <v>13.3</v>
      </c>
      <c r="K356" s="10">
        <v>129</v>
      </c>
      <c r="L356" s="4">
        <f>+(Tabla1[[#This Row],[Tmax media (°C)]]-Tabla1[[#This Row],[Tmax media (°C) historica]])/Tabla1[[#This Row],[Tmax media (°C) historica]]*100</f>
        <v>-9.1346153846153957</v>
      </c>
      <c r="M356" s="4">
        <f>+(Tabla1[[#This Row],[Tmin media (°C)]]-Tabla1[[#This Row],[Tmin media (°C) historica]])/Tabla1[[#This Row],[Tmin media (°C) historica]]*100</f>
        <v>-1.2987012987013056</v>
      </c>
      <c r="N356" s="4">
        <f>+(Tabla1[[#This Row],[Tmedia media (°C)]]-Tabla1[[#This Row],[Tmedia media (°C) historica]])/Tabla1[[#This Row],[Tmedia media (°C) historica]]*100</f>
        <v>-4.3165467625899252</v>
      </c>
      <c r="O356" s="4">
        <f>+(Tabla1[[#This Row],[Prec acum (mm)]]-Tabla1[[#This Row],[Prec acum (mm) historica]])/Tabla1[[#This Row],[Prec acum (mm) historica]]*100</f>
        <v>65.384615384615387</v>
      </c>
    </row>
    <row r="357" spans="1:15" hidden="1" x14ac:dyDescent="0.25">
      <c r="A357">
        <v>1997</v>
      </c>
      <c r="B357" t="s">
        <v>19</v>
      </c>
      <c r="C357" t="s">
        <v>25</v>
      </c>
      <c r="D357" s="6">
        <v>20.8</v>
      </c>
      <c r="E357" s="6">
        <v>7.7</v>
      </c>
      <c r="F357" s="6">
        <v>13.9</v>
      </c>
      <c r="G357" s="6">
        <v>78</v>
      </c>
      <c r="H357" s="10">
        <v>19.399999999999999</v>
      </c>
      <c r="I357" s="10">
        <v>7.9</v>
      </c>
      <c r="J357" s="10">
        <v>13.6</v>
      </c>
      <c r="K357" s="10">
        <v>231</v>
      </c>
      <c r="L357" s="3">
        <f>+(Tabla1[[#This Row],[Tmax media (°C)]]-Tabla1[[#This Row],[Tmax media (°C) historica]])/Tabla1[[#This Row],[Tmax media (°C) historica]]*100</f>
        <v>-6.7307692307692406</v>
      </c>
      <c r="M357" s="3">
        <f>+(Tabla1[[#This Row],[Tmin media (°C)]]-Tabla1[[#This Row],[Tmin media (°C) historica]])/Tabla1[[#This Row],[Tmin media (°C) historica]]*100</f>
        <v>2.5974025974025996</v>
      </c>
      <c r="N357" s="3">
        <f>+(Tabla1[[#This Row],[Tmedia media (°C)]]-Tabla1[[#This Row],[Tmedia media (°C) historica]])/Tabla1[[#This Row],[Tmedia media (°C) historica]]*100</f>
        <v>-2.1582733812949688</v>
      </c>
      <c r="O357" s="3">
        <f>+(Tabla1[[#This Row],[Prec acum (mm)]]-Tabla1[[#This Row],[Prec acum (mm) historica]])/Tabla1[[#This Row],[Prec acum (mm) historica]]*100</f>
        <v>196.15384615384613</v>
      </c>
    </row>
    <row r="358" spans="1:15" hidden="1" x14ac:dyDescent="0.25">
      <c r="A358">
        <v>2002</v>
      </c>
      <c r="B358" t="s">
        <v>19</v>
      </c>
      <c r="C358" t="s">
        <v>25</v>
      </c>
      <c r="D358" s="6">
        <v>20.8</v>
      </c>
      <c r="E358" s="6">
        <v>7.7</v>
      </c>
      <c r="F358" s="6">
        <v>13.9</v>
      </c>
      <c r="G358" s="6">
        <v>78</v>
      </c>
      <c r="H358" s="10">
        <v>21</v>
      </c>
      <c r="I358" s="10">
        <v>9.6</v>
      </c>
      <c r="J358" s="10">
        <v>15.3</v>
      </c>
      <c r="K358" s="10">
        <v>164</v>
      </c>
      <c r="L358" s="4">
        <f>+(Tabla1[[#This Row],[Tmax media (°C)]]-Tabla1[[#This Row],[Tmax media (°C) historica]])/Tabla1[[#This Row],[Tmax media (°C) historica]]*100</f>
        <v>0.96153846153845812</v>
      </c>
      <c r="M358" s="4">
        <f>+(Tabla1[[#This Row],[Tmin media (°C)]]-Tabla1[[#This Row],[Tmin media (°C) historica]])/Tabla1[[#This Row],[Tmin media (°C) historica]]*100</f>
        <v>24.675324675324667</v>
      </c>
      <c r="N358" s="4">
        <f>+(Tabla1[[#This Row],[Tmedia media (°C)]]-Tabla1[[#This Row],[Tmedia media (°C) historica]])/Tabla1[[#This Row],[Tmedia media (°C) historica]]*100</f>
        <v>10.071942446043169</v>
      </c>
      <c r="O358" s="4">
        <f>+(Tabla1[[#This Row],[Prec acum (mm)]]-Tabla1[[#This Row],[Prec acum (mm) historica]])/Tabla1[[#This Row],[Prec acum (mm) historica]]*100</f>
        <v>110.25641025641026</v>
      </c>
    </row>
    <row r="359" spans="1:15" hidden="1" x14ac:dyDescent="0.25">
      <c r="A359">
        <v>2004</v>
      </c>
      <c r="B359" t="s">
        <v>19</v>
      </c>
      <c r="C359" t="s">
        <v>25</v>
      </c>
      <c r="D359" s="6">
        <v>20.8</v>
      </c>
      <c r="E359" s="6">
        <v>7.7</v>
      </c>
      <c r="F359" s="6">
        <v>13.9</v>
      </c>
      <c r="G359" s="6">
        <v>78</v>
      </c>
      <c r="H359" s="10">
        <v>20.5</v>
      </c>
      <c r="I359" s="10">
        <v>6.4</v>
      </c>
      <c r="J359" s="10">
        <v>13.5</v>
      </c>
      <c r="K359" s="10">
        <v>66</v>
      </c>
      <c r="L359" s="3">
        <f>+(Tabla1[[#This Row],[Tmax media (°C)]]-Tabla1[[#This Row],[Tmax media (°C) historica]])/Tabla1[[#This Row],[Tmax media (°C) historica]]*100</f>
        <v>-1.4423076923076956</v>
      </c>
      <c r="M359" s="3">
        <f>+(Tabla1[[#This Row],[Tmin media (°C)]]-Tabla1[[#This Row],[Tmin media (°C) historica]])/Tabla1[[#This Row],[Tmin media (°C) historica]]*100</f>
        <v>-16.88311688311688</v>
      </c>
      <c r="N359" s="3">
        <f>+(Tabla1[[#This Row],[Tmedia media (°C)]]-Tabla1[[#This Row],[Tmedia media (°C) historica]])/Tabla1[[#This Row],[Tmedia media (°C) historica]]*100</f>
        <v>-2.8776978417266212</v>
      </c>
      <c r="O359" s="3">
        <f>+(Tabla1[[#This Row],[Prec acum (mm)]]-Tabla1[[#This Row],[Prec acum (mm) historica]])/Tabla1[[#This Row],[Prec acum (mm) historica]]*100</f>
        <v>-15.384615384615385</v>
      </c>
    </row>
    <row r="360" spans="1:15" hidden="1" x14ac:dyDescent="0.25">
      <c r="A360">
        <v>2015</v>
      </c>
      <c r="B360" t="s">
        <v>19</v>
      </c>
      <c r="C360" t="s">
        <v>25</v>
      </c>
      <c r="D360" s="6">
        <v>20.8</v>
      </c>
      <c r="E360" s="6">
        <v>7.7</v>
      </c>
      <c r="F360" s="6">
        <v>13.9</v>
      </c>
      <c r="G360" s="6">
        <v>78</v>
      </c>
      <c r="H360" s="10">
        <v>17.600000000000001</v>
      </c>
      <c r="I360" s="10">
        <v>5.2</v>
      </c>
      <c r="J360" s="10">
        <v>11.4</v>
      </c>
      <c r="K360" s="10">
        <v>90</v>
      </c>
      <c r="L360" s="4">
        <f>+(Tabla1[[#This Row],[Tmax media (°C)]]-Tabla1[[#This Row],[Tmax media (°C) historica]])/Tabla1[[#This Row],[Tmax media (°C) historica]]*100</f>
        <v>-15.38461538461538</v>
      </c>
      <c r="M360" s="4">
        <f>+(Tabla1[[#This Row],[Tmin media (°C)]]-Tabla1[[#This Row],[Tmin media (°C) historica]])/Tabla1[[#This Row],[Tmin media (°C) historica]]*100</f>
        <v>-32.467532467532465</v>
      </c>
      <c r="N360" s="4">
        <f>+(Tabla1[[#This Row],[Tmedia media (°C)]]-Tabla1[[#This Row],[Tmedia media (°C) historica]])/Tabla1[[#This Row],[Tmedia media (°C) historica]]*100</f>
        <v>-17.985611510791365</v>
      </c>
      <c r="O360" s="4">
        <f>+(Tabla1[[#This Row],[Prec acum (mm)]]-Tabla1[[#This Row],[Prec acum (mm) historica]])/Tabla1[[#This Row],[Prec acum (mm) historica]]*100</f>
        <v>15.384615384615385</v>
      </c>
    </row>
    <row r="361" spans="1:15" hidden="1" x14ac:dyDescent="0.25">
      <c r="A361">
        <v>2023</v>
      </c>
      <c r="B361" t="s">
        <v>19</v>
      </c>
      <c r="C361" t="s">
        <v>25</v>
      </c>
      <c r="D361" s="6">
        <v>20.8</v>
      </c>
      <c r="E361" s="6">
        <v>7.7</v>
      </c>
      <c r="F361" s="6">
        <v>13.9</v>
      </c>
      <c r="G361" s="6">
        <v>78</v>
      </c>
      <c r="H361" s="10">
        <v>21.5</v>
      </c>
      <c r="I361" s="10">
        <v>6.6</v>
      </c>
      <c r="J361" s="10">
        <v>14.1</v>
      </c>
      <c r="K361" s="10">
        <v>84</v>
      </c>
      <c r="L361" s="3">
        <f>+(Tabla1[[#This Row],[Tmax media (°C)]]-Tabla1[[#This Row],[Tmax media (°C) historica]])/Tabla1[[#This Row],[Tmax media (°C) historica]]*100</f>
        <v>3.3653846153846119</v>
      </c>
      <c r="M361" s="3">
        <f>+(Tabla1[[#This Row],[Tmin media (°C)]]-Tabla1[[#This Row],[Tmin media (°C) historica]])/Tabla1[[#This Row],[Tmin media (°C) historica]]*100</f>
        <v>-14.285714285714294</v>
      </c>
      <c r="N361" s="3">
        <f>+(Tabla1[[#This Row],[Tmedia media (°C)]]-Tabla1[[#This Row],[Tmedia media (°C) historica]])/Tabla1[[#This Row],[Tmedia media (°C) historica]]*100</f>
        <v>1.4388489208633042</v>
      </c>
      <c r="O361" s="3">
        <f>+(Tabla1[[#This Row],[Prec acum (mm)]]-Tabla1[[#This Row],[Prec acum (mm) historica]])/Tabla1[[#This Row],[Prec acum (mm) historica]]*100</f>
        <v>7.6923076923076925</v>
      </c>
    </row>
    <row r="362" spans="1:15" hidden="1" x14ac:dyDescent="0.25">
      <c r="A362">
        <v>1982</v>
      </c>
      <c r="B362" t="s">
        <v>19</v>
      </c>
      <c r="C362" t="s">
        <v>26</v>
      </c>
      <c r="D362" s="6">
        <v>23.5</v>
      </c>
      <c r="E362" s="6">
        <v>10.1</v>
      </c>
      <c r="F362" s="6">
        <v>17.100000000000001</v>
      </c>
      <c r="G362" s="6">
        <v>96</v>
      </c>
      <c r="H362" s="10">
        <v>21.9</v>
      </c>
      <c r="I362" s="10">
        <v>9.4</v>
      </c>
      <c r="J362" s="10">
        <v>15.7</v>
      </c>
      <c r="K362" s="10">
        <v>78</v>
      </c>
      <c r="L362" s="3">
        <f>+(Tabla1[[#This Row],[Tmax media (°C)]]-Tabla1[[#This Row],[Tmax media (°C) historica]])/Tabla1[[#This Row],[Tmax media (°C) historica]]*100</f>
        <v>-6.8085106382978777</v>
      </c>
      <c r="M362" s="3">
        <f>+(Tabla1[[#This Row],[Tmin media (°C)]]-Tabla1[[#This Row],[Tmin media (°C) historica]])/Tabla1[[#This Row],[Tmin media (°C) historica]]*100</f>
        <v>-6.9306930693069244</v>
      </c>
      <c r="N362" s="3">
        <f>+(Tabla1[[#This Row],[Tmedia media (°C)]]-Tabla1[[#This Row],[Tmedia media (°C) historica]])/Tabla1[[#This Row],[Tmedia media (°C) historica]]*100</f>
        <v>-8.187134502923989</v>
      </c>
      <c r="O362" s="3">
        <f>+(Tabla1[[#This Row],[Prec acum (mm)]]-Tabla1[[#This Row],[Prec acum (mm) historica]])/Tabla1[[#This Row],[Prec acum (mm) historica]]*100</f>
        <v>-18.75</v>
      </c>
    </row>
    <row r="363" spans="1:15" hidden="1" x14ac:dyDescent="0.25">
      <c r="A363">
        <v>1987</v>
      </c>
      <c r="B363" t="s">
        <v>19</v>
      </c>
      <c r="C363" t="s">
        <v>26</v>
      </c>
      <c r="D363" s="6">
        <v>23.5</v>
      </c>
      <c r="E363" s="6">
        <v>10.1</v>
      </c>
      <c r="F363" s="6">
        <v>17.100000000000001</v>
      </c>
      <c r="G363" s="6">
        <v>96</v>
      </c>
      <c r="H363" s="10">
        <v>23</v>
      </c>
      <c r="I363" s="10">
        <v>11.8</v>
      </c>
      <c r="J363" s="10">
        <v>17.399999999999999</v>
      </c>
      <c r="K363" s="10">
        <v>120</v>
      </c>
      <c r="L363" s="4">
        <f>+(Tabla1[[#This Row],[Tmax media (°C)]]-Tabla1[[#This Row],[Tmax media (°C) historica]])/Tabla1[[#This Row],[Tmax media (°C) historica]]*100</f>
        <v>-2.1276595744680851</v>
      </c>
      <c r="M363" s="4">
        <f>+(Tabla1[[#This Row],[Tmin media (°C)]]-Tabla1[[#This Row],[Tmin media (°C) historica]])/Tabla1[[#This Row],[Tmin media (°C) historica]]*100</f>
        <v>16.831683168316843</v>
      </c>
      <c r="N363" s="4">
        <f>+(Tabla1[[#This Row],[Tmedia media (°C)]]-Tabla1[[#This Row],[Tmedia media (°C) historica]])/Tabla1[[#This Row],[Tmedia media (°C) historica]]*100</f>
        <v>1.754385964912264</v>
      </c>
      <c r="O363" s="4">
        <f>+(Tabla1[[#This Row],[Prec acum (mm)]]-Tabla1[[#This Row],[Prec acum (mm) historica]])/Tabla1[[#This Row],[Prec acum (mm) historica]]*100</f>
        <v>25</v>
      </c>
    </row>
    <row r="364" spans="1:15" hidden="1" x14ac:dyDescent="0.25">
      <c r="A364">
        <v>1991</v>
      </c>
      <c r="B364" t="s">
        <v>19</v>
      </c>
      <c r="C364" t="s">
        <v>26</v>
      </c>
      <c r="D364" s="6">
        <v>24.2</v>
      </c>
      <c r="E364" s="6">
        <v>10.3</v>
      </c>
      <c r="F364" s="6">
        <v>17.100000000000001</v>
      </c>
      <c r="G364" s="6">
        <v>96</v>
      </c>
      <c r="H364" s="10">
        <v>23.5</v>
      </c>
      <c r="I364" s="10">
        <v>10.6</v>
      </c>
      <c r="J364" s="10">
        <v>17.100000000000001</v>
      </c>
      <c r="K364" s="10">
        <v>100</v>
      </c>
      <c r="L364" s="3">
        <f>+(Tabla1[[#This Row],[Tmax media (°C)]]-Tabla1[[#This Row],[Tmax media (°C) historica]])/Tabla1[[#This Row],[Tmax media (°C) historica]]*100</f>
        <v>-2.8925619834710719</v>
      </c>
      <c r="M364" s="3">
        <f>+(Tabla1[[#This Row],[Tmin media (°C)]]-Tabla1[[#This Row],[Tmin media (°C) historica]])/Tabla1[[#This Row],[Tmin media (°C) historica]]*100</f>
        <v>2.9126213592232904</v>
      </c>
      <c r="N364" s="3">
        <f>+(Tabla1[[#This Row],[Tmedia media (°C)]]-Tabla1[[#This Row],[Tmedia media (°C) historica]])/Tabla1[[#This Row],[Tmedia media (°C) historica]]*100</f>
        <v>0</v>
      </c>
      <c r="O364" s="3">
        <f>+(Tabla1[[#This Row],[Prec acum (mm)]]-Tabla1[[#This Row],[Prec acum (mm) historica]])/Tabla1[[#This Row],[Prec acum (mm) historica]]*100</f>
        <v>4.1666666666666661</v>
      </c>
    </row>
    <row r="365" spans="1:15" hidden="1" x14ac:dyDescent="0.25">
      <c r="A365">
        <v>1994</v>
      </c>
      <c r="B365" t="s">
        <v>19</v>
      </c>
      <c r="C365" t="s">
        <v>26</v>
      </c>
      <c r="D365" s="6">
        <v>24.2</v>
      </c>
      <c r="E365" s="6">
        <v>10.3</v>
      </c>
      <c r="F365" s="6">
        <v>17.100000000000001</v>
      </c>
      <c r="G365" s="6">
        <v>96</v>
      </c>
      <c r="H365" s="10">
        <v>25.5</v>
      </c>
      <c r="I365" s="10">
        <v>11.6</v>
      </c>
      <c r="J365" s="10">
        <v>18.5</v>
      </c>
      <c r="K365" s="10">
        <v>105</v>
      </c>
      <c r="L365" s="4">
        <f>+(Tabla1[[#This Row],[Tmax media (°C)]]-Tabla1[[#This Row],[Tmax media (°C) historica]])/Tabla1[[#This Row],[Tmax media (°C) historica]]*100</f>
        <v>5.371900826446284</v>
      </c>
      <c r="M365" s="4">
        <f>+(Tabla1[[#This Row],[Tmin media (°C)]]-Tabla1[[#This Row],[Tmin media (°C) historica]])/Tabla1[[#This Row],[Tmin media (°C) historica]]*100</f>
        <v>12.62135922330096</v>
      </c>
      <c r="N365" s="4">
        <f>+(Tabla1[[#This Row],[Tmedia media (°C)]]-Tabla1[[#This Row],[Tmedia media (°C) historica]])/Tabla1[[#This Row],[Tmedia media (°C) historica]]*100</f>
        <v>8.1871345029239677</v>
      </c>
      <c r="O365" s="4">
        <f>+(Tabla1[[#This Row],[Prec acum (mm)]]-Tabla1[[#This Row],[Prec acum (mm) historica]])/Tabla1[[#This Row],[Prec acum (mm) historica]]*100</f>
        <v>9.375</v>
      </c>
    </row>
    <row r="366" spans="1:15" hidden="1" x14ac:dyDescent="0.25">
      <c r="A366">
        <v>1997</v>
      </c>
      <c r="B366" t="s">
        <v>19</v>
      </c>
      <c r="C366" t="s">
        <v>26</v>
      </c>
      <c r="D366" s="6">
        <v>24.2</v>
      </c>
      <c r="E366" s="6">
        <v>10.3</v>
      </c>
      <c r="F366" s="6">
        <v>17.100000000000001</v>
      </c>
      <c r="G366" s="6">
        <v>96</v>
      </c>
      <c r="H366" s="10">
        <v>22.6</v>
      </c>
      <c r="I366" s="10">
        <v>10.1</v>
      </c>
      <c r="J366" s="10">
        <v>16.3</v>
      </c>
      <c r="K366" s="10">
        <v>80</v>
      </c>
      <c r="L366" s="3">
        <f>+(Tabla1[[#This Row],[Tmax media (°C)]]-Tabla1[[#This Row],[Tmax media (°C) historica]])/Tabla1[[#This Row],[Tmax media (°C) historica]]*100</f>
        <v>-6.6115702479338765</v>
      </c>
      <c r="M366" s="3">
        <f>+(Tabla1[[#This Row],[Tmin media (°C)]]-Tabla1[[#This Row],[Tmin media (°C) historica]])/Tabla1[[#This Row],[Tmin media (°C) historica]]*100</f>
        <v>-1.9417475728155442</v>
      </c>
      <c r="N366" s="3">
        <f>+(Tabla1[[#This Row],[Tmedia media (°C)]]-Tabla1[[#This Row],[Tmedia media (°C) historica]])/Tabla1[[#This Row],[Tmedia media (°C) historica]]*100</f>
        <v>-4.6783625730994194</v>
      </c>
      <c r="O366" s="3">
        <f>+(Tabla1[[#This Row],[Prec acum (mm)]]-Tabla1[[#This Row],[Prec acum (mm) historica]])/Tabla1[[#This Row],[Prec acum (mm) historica]]*100</f>
        <v>-16.666666666666664</v>
      </c>
    </row>
    <row r="367" spans="1:15" hidden="1" x14ac:dyDescent="0.25">
      <c r="A367">
        <v>2002</v>
      </c>
      <c r="B367" t="s">
        <v>19</v>
      </c>
      <c r="C367" t="s">
        <v>26</v>
      </c>
      <c r="D367" s="6">
        <v>24.2</v>
      </c>
      <c r="E367" s="6">
        <v>10.3</v>
      </c>
      <c r="F367" s="6">
        <v>17.100000000000001</v>
      </c>
      <c r="G367" s="6">
        <v>96</v>
      </c>
      <c r="H367" s="10">
        <v>23</v>
      </c>
      <c r="I367" s="10">
        <v>11.8</v>
      </c>
      <c r="J367" s="10">
        <v>17.399999999999999</v>
      </c>
      <c r="K367" s="10">
        <v>183</v>
      </c>
      <c r="L367" s="4">
        <f>+(Tabla1[[#This Row],[Tmax media (°C)]]-Tabla1[[#This Row],[Tmax media (°C) historica]])/Tabla1[[#This Row],[Tmax media (°C) historica]]*100</f>
        <v>-4.9586776859504109</v>
      </c>
      <c r="M367" s="4">
        <f>+(Tabla1[[#This Row],[Tmin media (°C)]]-Tabla1[[#This Row],[Tmin media (°C) historica]])/Tabla1[[#This Row],[Tmin media (°C) historica]]*100</f>
        <v>14.563106796116504</v>
      </c>
      <c r="N367" s="4">
        <f>+(Tabla1[[#This Row],[Tmedia media (°C)]]-Tabla1[[#This Row],[Tmedia media (°C) historica]])/Tabla1[[#This Row],[Tmedia media (°C) historica]]*100</f>
        <v>1.754385964912264</v>
      </c>
      <c r="O367" s="4">
        <f>+(Tabla1[[#This Row],[Prec acum (mm)]]-Tabla1[[#This Row],[Prec acum (mm) historica]])/Tabla1[[#This Row],[Prec acum (mm) historica]]*100</f>
        <v>90.625</v>
      </c>
    </row>
    <row r="368" spans="1:15" hidden="1" x14ac:dyDescent="0.25">
      <c r="A368">
        <v>2004</v>
      </c>
      <c r="B368" t="s">
        <v>19</v>
      </c>
      <c r="C368" t="s">
        <v>26</v>
      </c>
      <c r="D368" s="6">
        <v>24.2</v>
      </c>
      <c r="E368" s="6">
        <v>10.3</v>
      </c>
      <c r="F368" s="6">
        <v>17.100000000000001</v>
      </c>
      <c r="G368" s="6">
        <v>96</v>
      </c>
      <c r="H368" s="10">
        <v>22.7</v>
      </c>
      <c r="I368" s="10">
        <v>10.6</v>
      </c>
      <c r="J368" s="10">
        <v>16.600000000000001</v>
      </c>
      <c r="K368" s="10">
        <v>111</v>
      </c>
      <c r="L368" s="3">
        <f>+(Tabla1[[#This Row],[Tmax media (°C)]]-Tabla1[[#This Row],[Tmax media (°C) historica]])/Tabla1[[#This Row],[Tmax media (°C) historica]]*100</f>
        <v>-6.1983471074380168</v>
      </c>
      <c r="M368" s="3">
        <f>+(Tabla1[[#This Row],[Tmin media (°C)]]-Tabla1[[#This Row],[Tmin media (°C) historica]])/Tabla1[[#This Row],[Tmin media (°C) historica]]*100</f>
        <v>2.9126213592232904</v>
      </c>
      <c r="N368" s="3">
        <f>+(Tabla1[[#This Row],[Tmedia media (°C)]]-Tabla1[[#This Row],[Tmedia media (°C) historica]])/Tabla1[[#This Row],[Tmedia media (°C) historica]]*100</f>
        <v>-2.9239766081871341</v>
      </c>
      <c r="O368" s="3">
        <f>+(Tabla1[[#This Row],[Prec acum (mm)]]-Tabla1[[#This Row],[Prec acum (mm) historica]])/Tabla1[[#This Row],[Prec acum (mm) historica]]*100</f>
        <v>15.625</v>
      </c>
    </row>
    <row r="369" spans="1:15" hidden="1" x14ac:dyDescent="0.25">
      <c r="A369">
        <v>2015</v>
      </c>
      <c r="B369" t="s">
        <v>19</v>
      </c>
      <c r="C369" t="s">
        <v>26</v>
      </c>
      <c r="D369" s="6">
        <v>24.2</v>
      </c>
      <c r="E369" s="6">
        <v>10.3</v>
      </c>
      <c r="F369" s="6">
        <v>17.100000000000001</v>
      </c>
      <c r="G369" s="6">
        <v>96</v>
      </c>
      <c r="H369" s="10">
        <v>24.1</v>
      </c>
      <c r="I369" s="10">
        <v>9.3000000000000007</v>
      </c>
      <c r="J369" s="10">
        <v>16.7</v>
      </c>
      <c r="K369" s="10">
        <v>76</v>
      </c>
      <c r="L369" s="4">
        <f>+(Tabla1[[#This Row],[Tmax media (°C)]]-Tabla1[[#This Row],[Tmax media (°C) historica]])/Tabla1[[#This Row],[Tmax media (°C) historica]]*100</f>
        <v>-0.41322314049585895</v>
      </c>
      <c r="M369" s="4">
        <f>+(Tabla1[[#This Row],[Tmin media (°C)]]-Tabla1[[#This Row],[Tmin media (°C) historica]])/Tabla1[[#This Row],[Tmin media (°C) historica]]*100</f>
        <v>-9.7087378640776691</v>
      </c>
      <c r="N369" s="4">
        <f>+(Tabla1[[#This Row],[Tmedia media (°C)]]-Tabla1[[#This Row],[Tmedia media (°C) historica]])/Tabla1[[#This Row],[Tmedia media (°C) historica]]*100</f>
        <v>-2.3391812865497199</v>
      </c>
      <c r="O369" s="4">
        <f>+(Tabla1[[#This Row],[Prec acum (mm)]]-Tabla1[[#This Row],[Prec acum (mm) historica]])/Tabla1[[#This Row],[Prec acum (mm) historica]]*100</f>
        <v>-20.833333333333336</v>
      </c>
    </row>
    <row r="370" spans="1:15" hidden="1" x14ac:dyDescent="0.25">
      <c r="A370">
        <v>2023</v>
      </c>
      <c r="B370" t="s">
        <v>19</v>
      </c>
      <c r="C370" t="s">
        <v>26</v>
      </c>
      <c r="D370" s="6">
        <v>24.2</v>
      </c>
      <c r="E370" s="6">
        <v>10.3</v>
      </c>
      <c r="F370" s="6">
        <v>17.100000000000001</v>
      </c>
      <c r="G370" s="6">
        <v>96</v>
      </c>
      <c r="H370" s="10">
        <v>24.3</v>
      </c>
      <c r="I370" s="10">
        <v>9.1</v>
      </c>
      <c r="J370" s="10">
        <v>16.7</v>
      </c>
      <c r="K370" s="10">
        <v>154</v>
      </c>
      <c r="L370" s="3">
        <f>+(Tabla1[[#This Row],[Tmax media (°C)]]-Tabla1[[#This Row],[Tmax media (°C) historica]])/Tabla1[[#This Row],[Tmax media (°C) historica]]*100</f>
        <v>0.41322314049587366</v>
      </c>
      <c r="M370" s="3">
        <f>+(Tabla1[[#This Row],[Tmin media (°C)]]-Tabla1[[#This Row],[Tmin media (°C) historica]])/Tabla1[[#This Row],[Tmin media (°C) historica]]*100</f>
        <v>-11.650485436893215</v>
      </c>
      <c r="N370" s="3">
        <f>+(Tabla1[[#This Row],[Tmedia media (°C)]]-Tabla1[[#This Row],[Tmedia media (°C) historica]])/Tabla1[[#This Row],[Tmedia media (°C) historica]]*100</f>
        <v>-2.3391812865497199</v>
      </c>
      <c r="O370" s="3">
        <f>+(Tabla1[[#This Row],[Prec acum (mm)]]-Tabla1[[#This Row],[Prec acum (mm) historica]])/Tabla1[[#This Row],[Prec acum (mm) historica]]*100</f>
        <v>60.416666666666664</v>
      </c>
    </row>
    <row r="371" spans="1:15" hidden="1" x14ac:dyDescent="0.25">
      <c r="A371">
        <v>1982</v>
      </c>
      <c r="B371" t="s">
        <v>19</v>
      </c>
      <c r="C371" t="s">
        <v>27</v>
      </c>
      <c r="D371" s="6">
        <v>27.3</v>
      </c>
      <c r="E371" s="6">
        <v>12.7</v>
      </c>
      <c r="F371" s="6">
        <v>19.899999999999999</v>
      </c>
      <c r="G371" s="6">
        <v>83</v>
      </c>
      <c r="H371" s="10">
        <v>29.3</v>
      </c>
      <c r="I371" s="10">
        <v>13.3</v>
      </c>
      <c r="J371" s="10">
        <v>21.3</v>
      </c>
      <c r="K371" s="10">
        <v>52</v>
      </c>
      <c r="L371" s="3">
        <f>+(Tabla1[[#This Row],[Tmax media (°C)]]-Tabla1[[#This Row],[Tmax media (°C) historica]])/Tabla1[[#This Row],[Tmax media (°C) historica]]*100</f>
        <v>7.3260073260073266</v>
      </c>
      <c r="M371" s="3">
        <f>+(Tabla1[[#This Row],[Tmin media (°C)]]-Tabla1[[#This Row],[Tmin media (°C) historica]])/Tabla1[[#This Row],[Tmin media (°C) historica]]*100</f>
        <v>4.7244094488189097</v>
      </c>
      <c r="N371" s="3">
        <f>+(Tabla1[[#This Row],[Tmedia media (°C)]]-Tabla1[[#This Row],[Tmedia media (°C) historica]])/Tabla1[[#This Row],[Tmedia media (°C) historica]]*100</f>
        <v>7.0351758793969958</v>
      </c>
      <c r="O371" s="3">
        <f>+(Tabla1[[#This Row],[Prec acum (mm)]]-Tabla1[[#This Row],[Prec acum (mm) historica]])/Tabla1[[#This Row],[Prec acum (mm) historica]]*100</f>
        <v>-37.349397590361441</v>
      </c>
    </row>
    <row r="372" spans="1:15" hidden="1" x14ac:dyDescent="0.25">
      <c r="A372">
        <v>1987</v>
      </c>
      <c r="B372" t="s">
        <v>19</v>
      </c>
      <c r="C372" t="s">
        <v>27</v>
      </c>
      <c r="D372" s="6">
        <v>27.3</v>
      </c>
      <c r="E372" s="6">
        <v>12.7</v>
      </c>
      <c r="F372" s="6">
        <v>19.899999999999999</v>
      </c>
      <c r="G372" s="6">
        <v>83</v>
      </c>
      <c r="H372" s="10">
        <v>25.4</v>
      </c>
      <c r="I372" s="10">
        <v>11.4</v>
      </c>
      <c r="J372" s="10">
        <v>18.399999999999999</v>
      </c>
      <c r="K372" s="10">
        <v>111</v>
      </c>
      <c r="L372" s="4">
        <f>+(Tabla1[[#This Row],[Tmax media (°C)]]-Tabla1[[#This Row],[Tmax media (°C) historica]])/Tabla1[[#This Row],[Tmax media (°C) historica]]*100</f>
        <v>-6.959706959706967</v>
      </c>
      <c r="M372" s="4">
        <f>+(Tabla1[[#This Row],[Tmin media (°C)]]-Tabla1[[#This Row],[Tmin media (°C) historica]])/Tabla1[[#This Row],[Tmin media (°C) historica]]*100</f>
        <v>-10.236220472440936</v>
      </c>
      <c r="N372" s="4">
        <f>+(Tabla1[[#This Row],[Tmedia media (°C)]]-Tabla1[[#This Row],[Tmedia media (°C) historica]])/Tabla1[[#This Row],[Tmedia media (°C) historica]]*100</f>
        <v>-7.5376884422110564</v>
      </c>
      <c r="O372" s="4">
        <f>+(Tabla1[[#This Row],[Prec acum (mm)]]-Tabla1[[#This Row],[Prec acum (mm) historica]])/Tabla1[[#This Row],[Prec acum (mm) historica]]*100</f>
        <v>33.734939759036145</v>
      </c>
    </row>
    <row r="373" spans="1:15" hidden="1" x14ac:dyDescent="0.25">
      <c r="A373">
        <v>1991</v>
      </c>
      <c r="B373" t="s">
        <v>19</v>
      </c>
      <c r="C373" t="s">
        <v>27</v>
      </c>
      <c r="D373" s="6">
        <v>27.9</v>
      </c>
      <c r="E373" s="6">
        <v>12.5</v>
      </c>
      <c r="F373" s="6">
        <v>20.100000000000001</v>
      </c>
      <c r="G373" s="6">
        <v>70</v>
      </c>
      <c r="H373" s="10">
        <v>25.5</v>
      </c>
      <c r="I373" s="10">
        <v>13</v>
      </c>
      <c r="J373" s="10">
        <v>19.2</v>
      </c>
      <c r="K373" s="10">
        <v>156</v>
      </c>
      <c r="L373" s="3">
        <f>+(Tabla1[[#This Row],[Tmax media (°C)]]-Tabla1[[#This Row],[Tmax media (°C) historica]])/Tabla1[[#This Row],[Tmax media (°C) historica]]*100</f>
        <v>-8.6021505376344045</v>
      </c>
      <c r="M373" s="3">
        <f>+(Tabla1[[#This Row],[Tmin media (°C)]]-Tabla1[[#This Row],[Tmin media (°C) historica]])/Tabla1[[#This Row],[Tmin media (°C) historica]]*100</f>
        <v>4</v>
      </c>
      <c r="N373" s="3">
        <f>+(Tabla1[[#This Row],[Tmedia media (°C)]]-Tabla1[[#This Row],[Tmedia media (°C) historica]])/Tabla1[[#This Row],[Tmedia media (°C) historica]]*100</f>
        <v>-4.4776119402985177</v>
      </c>
      <c r="O373" s="3">
        <f>+(Tabla1[[#This Row],[Prec acum (mm)]]-Tabla1[[#This Row],[Prec acum (mm) historica]])/Tabla1[[#This Row],[Prec acum (mm) historica]]*100</f>
        <v>122.85714285714286</v>
      </c>
    </row>
    <row r="374" spans="1:15" hidden="1" x14ac:dyDescent="0.25">
      <c r="A374">
        <v>1994</v>
      </c>
      <c r="B374" t="s">
        <v>19</v>
      </c>
      <c r="C374" t="s">
        <v>27</v>
      </c>
      <c r="D374" s="6">
        <v>27.9</v>
      </c>
      <c r="E374" s="6">
        <v>12.5</v>
      </c>
      <c r="F374" s="6">
        <v>20.100000000000001</v>
      </c>
      <c r="G374" s="6">
        <v>70</v>
      </c>
      <c r="H374" s="10">
        <v>28.8</v>
      </c>
      <c r="I374" s="10">
        <v>14.6</v>
      </c>
      <c r="J374" s="10">
        <v>21.7</v>
      </c>
      <c r="K374" s="10">
        <v>123</v>
      </c>
      <c r="L374" s="4">
        <f>+(Tabla1[[#This Row],[Tmax media (°C)]]-Tabla1[[#This Row],[Tmax media (°C) historica]])/Tabla1[[#This Row],[Tmax media (°C) historica]]*100</f>
        <v>3.2258064516129106</v>
      </c>
      <c r="M374" s="4">
        <f>+(Tabla1[[#This Row],[Tmin media (°C)]]-Tabla1[[#This Row],[Tmin media (°C) historica]])/Tabla1[[#This Row],[Tmin media (°C) historica]]*100</f>
        <v>16.799999999999997</v>
      </c>
      <c r="N374" s="4">
        <f>+(Tabla1[[#This Row],[Tmedia media (°C)]]-Tabla1[[#This Row],[Tmedia media (°C) historica]])/Tabla1[[#This Row],[Tmedia media (°C) historica]]*100</f>
        <v>7.960199004975113</v>
      </c>
      <c r="O374" s="4">
        <f>+(Tabla1[[#This Row],[Prec acum (mm)]]-Tabla1[[#This Row],[Prec acum (mm) historica]])/Tabla1[[#This Row],[Prec acum (mm) historica]]*100</f>
        <v>75.714285714285708</v>
      </c>
    </row>
    <row r="375" spans="1:15" hidden="1" x14ac:dyDescent="0.25">
      <c r="A375">
        <v>1997</v>
      </c>
      <c r="B375" t="s">
        <v>19</v>
      </c>
      <c r="C375" t="s">
        <v>27</v>
      </c>
      <c r="D375" s="6">
        <v>27.9</v>
      </c>
      <c r="E375" s="6">
        <v>12.5</v>
      </c>
      <c r="F375" s="6">
        <v>20.100000000000001</v>
      </c>
      <c r="G375" s="6">
        <v>70</v>
      </c>
      <c r="H375" s="10">
        <v>24.9</v>
      </c>
      <c r="I375" s="10">
        <v>11.3</v>
      </c>
      <c r="J375" s="10">
        <v>18.100000000000001</v>
      </c>
      <c r="K375" s="10">
        <v>101</v>
      </c>
      <c r="L375" s="3">
        <f>+(Tabla1[[#This Row],[Tmax media (°C)]]-Tabla1[[#This Row],[Tmax media (°C) historica]])/Tabla1[[#This Row],[Tmax media (°C) historica]]*100</f>
        <v>-10.75268817204301</v>
      </c>
      <c r="M375" s="3">
        <f>+(Tabla1[[#This Row],[Tmin media (°C)]]-Tabla1[[#This Row],[Tmin media (°C) historica]])/Tabla1[[#This Row],[Tmin media (°C) historica]]*100</f>
        <v>-9.5999999999999943</v>
      </c>
      <c r="N375" s="3">
        <f>+(Tabla1[[#This Row],[Tmedia media (°C)]]-Tabla1[[#This Row],[Tmedia media (°C) historica]])/Tabla1[[#This Row],[Tmedia media (°C) historica]]*100</f>
        <v>-9.9502487562189046</v>
      </c>
      <c r="O375" s="3">
        <f>+(Tabla1[[#This Row],[Prec acum (mm)]]-Tabla1[[#This Row],[Prec acum (mm) historica]])/Tabla1[[#This Row],[Prec acum (mm) historica]]*100</f>
        <v>44.285714285714285</v>
      </c>
    </row>
    <row r="376" spans="1:15" hidden="1" x14ac:dyDescent="0.25">
      <c r="A376">
        <v>2002</v>
      </c>
      <c r="B376" t="s">
        <v>19</v>
      </c>
      <c r="C376" t="s">
        <v>27</v>
      </c>
      <c r="D376" s="6">
        <v>27.9</v>
      </c>
      <c r="E376" s="6">
        <v>12.5</v>
      </c>
      <c r="F376" s="6">
        <v>20.100000000000001</v>
      </c>
      <c r="G376" s="6">
        <v>70</v>
      </c>
      <c r="H376" s="10">
        <v>26.4</v>
      </c>
      <c r="I376" s="10">
        <v>13.4</v>
      </c>
      <c r="J376" s="10">
        <v>19.899999999999999</v>
      </c>
      <c r="K376" s="10">
        <v>79</v>
      </c>
      <c r="L376" s="4">
        <f>+(Tabla1[[#This Row],[Tmax media (°C)]]-Tabla1[[#This Row],[Tmax media (°C) historica]])/Tabla1[[#This Row],[Tmax media (°C) historica]]*100</f>
        <v>-5.376344086021505</v>
      </c>
      <c r="M376" s="4">
        <f>+(Tabla1[[#This Row],[Tmin media (°C)]]-Tabla1[[#This Row],[Tmin media (°C) historica]])/Tabla1[[#This Row],[Tmin media (°C) historica]]*100</f>
        <v>7.200000000000002</v>
      </c>
      <c r="N376" s="4">
        <f>+(Tabla1[[#This Row],[Tmedia media (°C)]]-Tabla1[[#This Row],[Tmedia media (°C) historica]])/Tabla1[[#This Row],[Tmedia media (°C) historica]]*100</f>
        <v>-0.99502487562190456</v>
      </c>
      <c r="O376" s="4">
        <f>+(Tabla1[[#This Row],[Prec acum (mm)]]-Tabla1[[#This Row],[Prec acum (mm) historica]])/Tabla1[[#This Row],[Prec acum (mm) historica]]*100</f>
        <v>12.857142857142856</v>
      </c>
    </row>
    <row r="377" spans="1:15" hidden="1" x14ac:dyDescent="0.25">
      <c r="A377">
        <v>2004</v>
      </c>
      <c r="B377" t="s">
        <v>19</v>
      </c>
      <c r="C377" t="s">
        <v>27</v>
      </c>
      <c r="D377" s="6">
        <v>27.9</v>
      </c>
      <c r="E377" s="6">
        <v>12.5</v>
      </c>
      <c r="F377" s="6">
        <v>20.100000000000001</v>
      </c>
      <c r="G377" s="6">
        <v>70</v>
      </c>
      <c r="H377" s="10">
        <v>26.9</v>
      </c>
      <c r="I377" s="10">
        <v>13.4</v>
      </c>
      <c r="J377" s="10">
        <v>20.2</v>
      </c>
      <c r="K377" s="10">
        <v>108</v>
      </c>
      <c r="L377" s="3">
        <f>+(Tabla1[[#This Row],[Tmax media (°C)]]-Tabla1[[#This Row],[Tmax media (°C) historica]])/Tabla1[[#This Row],[Tmax media (°C) historica]]*100</f>
        <v>-3.5842293906810041</v>
      </c>
      <c r="M377" s="3">
        <f>+(Tabla1[[#This Row],[Tmin media (°C)]]-Tabla1[[#This Row],[Tmin media (°C) historica]])/Tabla1[[#This Row],[Tmin media (°C) historica]]*100</f>
        <v>7.200000000000002</v>
      </c>
      <c r="N377" s="3">
        <f>+(Tabla1[[#This Row],[Tmedia media (°C)]]-Tabla1[[#This Row],[Tmedia media (°C) historica]])/Tabla1[[#This Row],[Tmedia media (°C) historica]]*100</f>
        <v>0.49751243781093457</v>
      </c>
      <c r="O377" s="3">
        <f>+(Tabla1[[#This Row],[Prec acum (mm)]]-Tabla1[[#This Row],[Prec acum (mm) historica]])/Tabla1[[#This Row],[Prec acum (mm) historica]]*100</f>
        <v>54.285714285714285</v>
      </c>
    </row>
    <row r="378" spans="1:15" hidden="1" x14ac:dyDescent="0.25">
      <c r="A378">
        <v>2015</v>
      </c>
      <c r="B378" t="s">
        <v>19</v>
      </c>
      <c r="C378" t="s">
        <v>27</v>
      </c>
      <c r="D378" s="6">
        <v>27.9</v>
      </c>
      <c r="E378" s="6">
        <v>12.5</v>
      </c>
      <c r="F378" s="6">
        <v>20.100000000000001</v>
      </c>
      <c r="G378" s="6">
        <v>70</v>
      </c>
      <c r="H378" s="10">
        <v>29</v>
      </c>
      <c r="I378" s="10">
        <v>13.3</v>
      </c>
      <c r="J378" s="10">
        <v>21.2</v>
      </c>
      <c r="K378" s="10">
        <v>36</v>
      </c>
      <c r="L378" s="4">
        <f>+(Tabla1[[#This Row],[Tmax media (°C)]]-Tabla1[[#This Row],[Tmax media (°C) historica]])/Tabla1[[#This Row],[Tmax media (°C) historica]]*100</f>
        <v>3.9426523297491092</v>
      </c>
      <c r="M378" s="4">
        <f>+(Tabla1[[#This Row],[Tmin media (°C)]]-Tabla1[[#This Row],[Tmin media (°C) historica]])/Tabla1[[#This Row],[Tmin media (°C) historica]]*100</f>
        <v>6.4000000000000057</v>
      </c>
      <c r="N378" s="4">
        <f>+(Tabla1[[#This Row],[Tmedia media (°C)]]-Tabla1[[#This Row],[Tmedia media (°C) historica]])/Tabla1[[#This Row],[Tmedia media (°C) historica]]*100</f>
        <v>5.4726368159203869</v>
      </c>
      <c r="O378" s="4">
        <f>+(Tabla1[[#This Row],[Prec acum (mm)]]-Tabla1[[#This Row],[Prec acum (mm) historica]])/Tabla1[[#This Row],[Prec acum (mm) historica]]*100</f>
        <v>-48.571428571428569</v>
      </c>
    </row>
    <row r="379" spans="1:15" hidden="1" x14ac:dyDescent="0.25">
      <c r="A379">
        <v>2023</v>
      </c>
      <c r="B379" t="s">
        <v>19</v>
      </c>
      <c r="C379" t="s">
        <v>27</v>
      </c>
      <c r="D379" s="6">
        <v>27.9</v>
      </c>
      <c r="E379" s="6">
        <v>12.5</v>
      </c>
      <c r="F379" s="6">
        <v>20.100000000000001</v>
      </c>
      <c r="G379" s="6">
        <v>70</v>
      </c>
      <c r="H379" s="10">
        <v>25.9</v>
      </c>
      <c r="I379" s="10">
        <v>13.4</v>
      </c>
      <c r="J379" s="10">
        <v>19.7</v>
      </c>
      <c r="K379" s="10">
        <v>274</v>
      </c>
      <c r="L379" s="3">
        <f>+(Tabla1[[#This Row],[Tmax media (°C)]]-Tabla1[[#This Row],[Tmax media (°C) historica]])/Tabla1[[#This Row],[Tmax media (°C) historica]]*100</f>
        <v>-7.1684587813620082</v>
      </c>
      <c r="M379" s="3">
        <f>+(Tabla1[[#This Row],[Tmin media (°C)]]-Tabla1[[#This Row],[Tmin media (°C) historica]])/Tabla1[[#This Row],[Tmin media (°C) historica]]*100</f>
        <v>7.200000000000002</v>
      </c>
      <c r="N379" s="3">
        <f>+(Tabla1[[#This Row],[Tmedia media (°C)]]-Tabla1[[#This Row],[Tmedia media (°C) historica]])/Tabla1[[#This Row],[Tmedia media (°C) historica]]*100</f>
        <v>-1.9900497512437916</v>
      </c>
      <c r="O379" s="3">
        <f>+(Tabla1[[#This Row],[Prec acum (mm)]]-Tabla1[[#This Row],[Prec acum (mm) historica]])/Tabla1[[#This Row],[Prec acum (mm) historica]]*100</f>
        <v>291.42857142857139</v>
      </c>
    </row>
    <row r="380" spans="1:15" hidden="1" x14ac:dyDescent="0.25">
      <c r="A380">
        <v>1982</v>
      </c>
      <c r="B380" t="s">
        <v>19</v>
      </c>
      <c r="C380" t="s">
        <v>28</v>
      </c>
      <c r="D380" s="6">
        <v>28.8</v>
      </c>
      <c r="E380" s="6">
        <v>14.2</v>
      </c>
      <c r="F380" s="6">
        <v>21.7</v>
      </c>
      <c r="G380" s="6">
        <v>126</v>
      </c>
      <c r="H380" s="10">
        <v>31.3</v>
      </c>
      <c r="I380" s="10">
        <v>16.2</v>
      </c>
      <c r="J380" s="10">
        <v>23.8</v>
      </c>
      <c r="K380" s="10">
        <v>70</v>
      </c>
      <c r="L380" s="3">
        <f>+(Tabla1[[#This Row],[Tmax media (°C)]]-Tabla1[[#This Row],[Tmax media (°C) historica]])/Tabla1[[#This Row],[Tmax media (°C) historica]]*100</f>
        <v>8.6805555555555554</v>
      </c>
      <c r="M380" s="3">
        <f>+(Tabla1[[#This Row],[Tmin media (°C)]]-Tabla1[[#This Row],[Tmin media (°C) historica]])/Tabla1[[#This Row],[Tmin media (°C) historica]]*100</f>
        <v>14.084507042253522</v>
      </c>
      <c r="N380" s="3">
        <f>+(Tabla1[[#This Row],[Tmedia media (°C)]]-Tabla1[[#This Row],[Tmedia media (°C) historica]])/Tabla1[[#This Row],[Tmedia media (°C) historica]]*100</f>
        <v>9.6774193548387171</v>
      </c>
      <c r="O380" s="3">
        <f>+(Tabla1[[#This Row],[Prec acum (mm)]]-Tabla1[[#This Row],[Prec acum (mm) historica]])/Tabla1[[#This Row],[Prec acum (mm) historica]]*100</f>
        <v>-44.444444444444443</v>
      </c>
    </row>
    <row r="381" spans="1:15" hidden="1" x14ac:dyDescent="0.25">
      <c r="A381">
        <v>1987</v>
      </c>
      <c r="B381" t="s">
        <v>19</v>
      </c>
      <c r="C381" t="s">
        <v>28</v>
      </c>
      <c r="D381" s="6">
        <v>28.8</v>
      </c>
      <c r="E381" s="6">
        <v>14.2</v>
      </c>
      <c r="F381" s="6">
        <v>21.7</v>
      </c>
      <c r="G381" s="6">
        <v>126</v>
      </c>
      <c r="H381" s="10">
        <v>28.1</v>
      </c>
      <c r="I381" s="10">
        <v>13.5</v>
      </c>
      <c r="J381" s="10">
        <v>20.8</v>
      </c>
      <c r="K381" s="10">
        <v>205</v>
      </c>
      <c r="L381" s="4">
        <f>+(Tabla1[[#This Row],[Tmax media (°C)]]-Tabla1[[#This Row],[Tmax media (°C) historica]])/Tabla1[[#This Row],[Tmax media (°C) historica]]*100</f>
        <v>-2.4305555555555531</v>
      </c>
      <c r="M381" s="4">
        <f>+(Tabla1[[#This Row],[Tmin media (°C)]]-Tabla1[[#This Row],[Tmin media (°C) historica]])/Tabla1[[#This Row],[Tmin media (°C) historica]]*100</f>
        <v>-4.9295774647887276</v>
      </c>
      <c r="N381" s="4">
        <f>+(Tabla1[[#This Row],[Tmedia media (°C)]]-Tabla1[[#This Row],[Tmedia media (°C) historica]])/Tabla1[[#This Row],[Tmedia media (°C) historica]]*100</f>
        <v>-4.1474654377880125</v>
      </c>
      <c r="O381" s="4">
        <f>+(Tabla1[[#This Row],[Prec acum (mm)]]-Tabla1[[#This Row],[Prec acum (mm) historica]])/Tabla1[[#This Row],[Prec acum (mm) historica]]*100</f>
        <v>62.698412698412696</v>
      </c>
    </row>
    <row r="382" spans="1:15" hidden="1" x14ac:dyDescent="0.25">
      <c r="A382">
        <v>1991</v>
      </c>
      <c r="B382" t="s">
        <v>19</v>
      </c>
      <c r="C382" t="s">
        <v>28</v>
      </c>
      <c r="D382" s="6">
        <v>29.1</v>
      </c>
      <c r="E382" s="6">
        <v>14.1</v>
      </c>
      <c r="F382" s="6">
        <v>21.8</v>
      </c>
      <c r="G382" s="6">
        <v>102</v>
      </c>
      <c r="H382" s="10">
        <v>27.7</v>
      </c>
      <c r="I382" s="10">
        <v>14.8</v>
      </c>
      <c r="J382" s="10">
        <v>21.2</v>
      </c>
      <c r="K382" s="10">
        <v>143</v>
      </c>
      <c r="L382" s="3">
        <f>+(Tabla1[[#This Row],[Tmax media (°C)]]-Tabla1[[#This Row],[Tmax media (°C) historica]])/Tabla1[[#This Row],[Tmax media (°C) historica]]*100</f>
        <v>-4.8109965635738901</v>
      </c>
      <c r="M382" s="3">
        <f>+(Tabla1[[#This Row],[Tmin media (°C)]]-Tabla1[[#This Row],[Tmin media (°C) historica]])/Tabla1[[#This Row],[Tmin media (°C) historica]]*100</f>
        <v>4.9645390070922062</v>
      </c>
      <c r="N382" s="3">
        <f>+(Tabla1[[#This Row],[Tmedia media (°C)]]-Tabla1[[#This Row],[Tmedia media (°C) historica]])/Tabla1[[#This Row],[Tmedia media (°C) historica]]*100</f>
        <v>-2.752293577981658</v>
      </c>
      <c r="O382" s="3">
        <f>+(Tabla1[[#This Row],[Prec acum (mm)]]-Tabla1[[#This Row],[Prec acum (mm) historica]])/Tabla1[[#This Row],[Prec acum (mm) historica]]*100</f>
        <v>40.196078431372548</v>
      </c>
    </row>
    <row r="383" spans="1:15" hidden="1" x14ac:dyDescent="0.25">
      <c r="A383">
        <v>1994</v>
      </c>
      <c r="B383" t="s">
        <v>19</v>
      </c>
      <c r="C383" t="s">
        <v>28</v>
      </c>
      <c r="D383" s="6">
        <v>29.1</v>
      </c>
      <c r="E383" s="6">
        <v>14.1</v>
      </c>
      <c r="F383" s="6">
        <v>21.8</v>
      </c>
      <c r="G383" s="6">
        <v>102</v>
      </c>
      <c r="H383" s="10">
        <v>28.6</v>
      </c>
      <c r="I383" s="10">
        <v>11.7</v>
      </c>
      <c r="J383" s="10">
        <v>20.2</v>
      </c>
      <c r="K383" s="10">
        <v>63</v>
      </c>
      <c r="L383" s="4">
        <f>+(Tabla1[[#This Row],[Tmax media (°C)]]-Tabla1[[#This Row],[Tmax media (°C) historica]])/Tabla1[[#This Row],[Tmax media (°C) historica]]*100</f>
        <v>-1.7182130584192439</v>
      </c>
      <c r="M383" s="4">
        <f>+(Tabla1[[#This Row],[Tmin media (°C)]]-Tabla1[[#This Row],[Tmin media (°C) historica]])/Tabla1[[#This Row],[Tmin media (°C) historica]]*100</f>
        <v>-17.021276595744684</v>
      </c>
      <c r="N383" s="4">
        <f>+(Tabla1[[#This Row],[Tmedia media (°C)]]-Tabla1[[#This Row],[Tmedia media (°C) historica]])/Tabla1[[#This Row],[Tmedia media (°C) historica]]*100</f>
        <v>-7.3394495412844094</v>
      </c>
      <c r="O383" s="4">
        <f>+(Tabla1[[#This Row],[Prec acum (mm)]]-Tabla1[[#This Row],[Prec acum (mm) historica]])/Tabla1[[#This Row],[Prec acum (mm) historica]]*100</f>
        <v>-38.235294117647058</v>
      </c>
    </row>
    <row r="384" spans="1:15" hidden="1" x14ac:dyDescent="0.25">
      <c r="A384">
        <v>1997</v>
      </c>
      <c r="B384" t="s">
        <v>19</v>
      </c>
      <c r="C384" t="s">
        <v>28</v>
      </c>
      <c r="D384" s="6">
        <v>29.1</v>
      </c>
      <c r="E384" s="6">
        <v>14.1</v>
      </c>
      <c r="F384" s="6">
        <v>21.8</v>
      </c>
      <c r="G384" s="6">
        <v>102</v>
      </c>
      <c r="H384" s="10">
        <v>26.9</v>
      </c>
      <c r="I384" s="10">
        <v>13.1</v>
      </c>
      <c r="J384" s="10">
        <v>20</v>
      </c>
      <c r="K384" s="10">
        <v>186</v>
      </c>
      <c r="L384" s="3">
        <f>+(Tabla1[[#This Row],[Tmax media (°C)]]-Tabla1[[#This Row],[Tmax media (°C) historica]])/Tabla1[[#This Row],[Tmax media (°C) historica]]*100</f>
        <v>-7.5601374570446831</v>
      </c>
      <c r="M384" s="3">
        <f>+(Tabla1[[#This Row],[Tmin media (°C)]]-Tabla1[[#This Row],[Tmin media (°C) historica]])/Tabla1[[#This Row],[Tmin media (°C) historica]]*100</f>
        <v>-7.0921985815602842</v>
      </c>
      <c r="N384" s="3">
        <f>+(Tabla1[[#This Row],[Tmedia media (°C)]]-Tabla1[[#This Row],[Tmedia media (°C) historica]])/Tabla1[[#This Row],[Tmedia media (°C) historica]]*100</f>
        <v>-8.256880733944957</v>
      </c>
      <c r="O384" s="3">
        <f>+(Tabla1[[#This Row],[Prec acum (mm)]]-Tabla1[[#This Row],[Prec acum (mm) historica]])/Tabla1[[#This Row],[Prec acum (mm) historica]]*100</f>
        <v>82.35294117647058</v>
      </c>
    </row>
    <row r="385" spans="1:15" hidden="1" x14ac:dyDescent="0.25">
      <c r="A385">
        <v>2002</v>
      </c>
      <c r="B385" t="s">
        <v>19</v>
      </c>
      <c r="C385" t="s">
        <v>28</v>
      </c>
      <c r="D385" s="6">
        <v>29.1</v>
      </c>
      <c r="E385" s="6">
        <v>14.1</v>
      </c>
      <c r="F385" s="6">
        <v>21.8</v>
      </c>
      <c r="G385" s="6">
        <v>102</v>
      </c>
      <c r="H385" s="10">
        <v>30.2</v>
      </c>
      <c r="I385" s="10">
        <v>13.9</v>
      </c>
      <c r="J385" s="10">
        <v>22</v>
      </c>
      <c r="K385" s="10">
        <v>54</v>
      </c>
      <c r="L385" s="4">
        <f>+(Tabla1[[#This Row],[Tmax media (°C)]]-Tabla1[[#This Row],[Tmax media (°C) historica]])/Tabla1[[#This Row],[Tmax media (°C) historica]]*100</f>
        <v>3.7800687285223296</v>
      </c>
      <c r="M385" s="4">
        <f>+(Tabla1[[#This Row],[Tmin media (°C)]]-Tabla1[[#This Row],[Tmin media (°C) historica]])/Tabla1[[#This Row],[Tmin media (°C) historica]]*100</f>
        <v>-1.4184397163120517</v>
      </c>
      <c r="N385" s="4">
        <f>+(Tabla1[[#This Row],[Tmedia media (°C)]]-Tabla1[[#This Row],[Tmedia media (°C) historica]])/Tabla1[[#This Row],[Tmedia media (°C) historica]]*100</f>
        <v>0.91743119266054718</v>
      </c>
      <c r="O385" s="4">
        <f>+(Tabla1[[#This Row],[Prec acum (mm)]]-Tabla1[[#This Row],[Prec acum (mm) historica]])/Tabla1[[#This Row],[Prec acum (mm) historica]]*100</f>
        <v>-47.058823529411761</v>
      </c>
    </row>
    <row r="386" spans="1:15" hidden="1" x14ac:dyDescent="0.25">
      <c r="A386">
        <v>2004</v>
      </c>
      <c r="B386" t="s">
        <v>19</v>
      </c>
      <c r="C386" t="s">
        <v>28</v>
      </c>
      <c r="D386" s="6">
        <v>29.1</v>
      </c>
      <c r="E386" s="6">
        <v>14.1</v>
      </c>
      <c r="F386" s="6">
        <v>21.8</v>
      </c>
      <c r="G386" s="6">
        <v>102</v>
      </c>
      <c r="H386" s="10">
        <v>29</v>
      </c>
      <c r="I386" s="10">
        <v>13.1</v>
      </c>
      <c r="J386" s="10">
        <v>21</v>
      </c>
      <c r="K386" s="10">
        <v>54</v>
      </c>
      <c r="L386" s="3">
        <f>+(Tabla1[[#This Row],[Tmax media (°C)]]-Tabla1[[#This Row],[Tmax media (°C) historica]])/Tabla1[[#This Row],[Tmax media (°C) historica]]*100</f>
        <v>-0.34364261168385363</v>
      </c>
      <c r="M386" s="3">
        <f>+(Tabla1[[#This Row],[Tmin media (°C)]]-Tabla1[[#This Row],[Tmin media (°C) historica]])/Tabla1[[#This Row],[Tmin media (°C) historica]]*100</f>
        <v>-7.0921985815602842</v>
      </c>
      <c r="N386" s="3">
        <f>+(Tabla1[[#This Row],[Tmedia media (°C)]]-Tabla1[[#This Row],[Tmedia media (°C) historica]])/Tabla1[[#This Row],[Tmedia media (°C) historica]]*100</f>
        <v>-3.6697247706422047</v>
      </c>
      <c r="O386" s="3">
        <f>+(Tabla1[[#This Row],[Prec acum (mm)]]-Tabla1[[#This Row],[Prec acum (mm) historica]])/Tabla1[[#This Row],[Prec acum (mm) historica]]*100</f>
        <v>-47.058823529411761</v>
      </c>
    </row>
    <row r="387" spans="1:15" hidden="1" x14ac:dyDescent="0.25">
      <c r="A387">
        <v>2015</v>
      </c>
      <c r="B387" t="s">
        <v>19</v>
      </c>
      <c r="C387" t="s">
        <v>28</v>
      </c>
      <c r="D387" s="6">
        <v>29.1</v>
      </c>
      <c r="E387" s="6">
        <v>14.1</v>
      </c>
      <c r="F387" s="6">
        <v>21.8</v>
      </c>
      <c r="G387" s="6">
        <v>102</v>
      </c>
      <c r="H387" s="10">
        <v>29.5</v>
      </c>
      <c r="I387" s="10">
        <v>14.9</v>
      </c>
      <c r="J387" s="10">
        <v>22.2</v>
      </c>
      <c r="K387" s="10">
        <v>60</v>
      </c>
      <c r="L387" s="4">
        <f>+(Tabla1[[#This Row],[Tmax media (°C)]]-Tabla1[[#This Row],[Tmax media (°C) historica]])/Tabla1[[#This Row],[Tmax media (°C) historica]]*100</f>
        <v>1.3745704467353903</v>
      </c>
      <c r="M387" s="4">
        <f>+(Tabla1[[#This Row],[Tmin media (°C)]]-Tabla1[[#This Row],[Tmin media (°C) historica]])/Tabla1[[#This Row],[Tmin media (°C) historica]]*100</f>
        <v>5.6737588652482325</v>
      </c>
      <c r="N387" s="4">
        <f>+(Tabla1[[#This Row],[Tmedia media (°C)]]-Tabla1[[#This Row],[Tmedia media (°C) historica]])/Tabla1[[#This Row],[Tmedia media (°C) historica]]*100</f>
        <v>1.8348623853210944</v>
      </c>
      <c r="O387" s="4">
        <f>+(Tabla1[[#This Row],[Prec acum (mm)]]-Tabla1[[#This Row],[Prec acum (mm) historica]])/Tabla1[[#This Row],[Prec acum (mm) historica]]*100</f>
        <v>-41.17647058823529</v>
      </c>
    </row>
    <row r="388" spans="1:15" hidden="1" x14ac:dyDescent="0.25">
      <c r="A388">
        <v>2023</v>
      </c>
      <c r="B388" t="s">
        <v>19</v>
      </c>
      <c r="C388" t="s">
        <v>28</v>
      </c>
      <c r="D388" s="6">
        <v>29.1</v>
      </c>
      <c r="E388" s="6">
        <v>14.1</v>
      </c>
      <c r="F388" s="6">
        <v>21.8</v>
      </c>
      <c r="G388" s="6">
        <v>102</v>
      </c>
      <c r="H388" s="10">
        <v>30</v>
      </c>
      <c r="I388" s="10">
        <v>14.6</v>
      </c>
      <c r="J388" s="10">
        <v>22.3</v>
      </c>
      <c r="K388" s="10">
        <v>39</v>
      </c>
      <c r="L388" s="3">
        <f>+(Tabla1[[#This Row],[Tmax media (°C)]]-Tabla1[[#This Row],[Tmax media (°C) historica]])/Tabla1[[#This Row],[Tmax media (°C) historica]]*100</f>
        <v>3.092783505154634</v>
      </c>
      <c r="M388" s="3">
        <f>+(Tabla1[[#This Row],[Tmin media (°C)]]-Tabla1[[#This Row],[Tmin media (°C) historica]])/Tabla1[[#This Row],[Tmin media (°C) historica]]*100</f>
        <v>3.5460992907801421</v>
      </c>
      <c r="N388" s="3">
        <f>+(Tabla1[[#This Row],[Tmedia media (°C)]]-Tabla1[[#This Row],[Tmedia media (°C) historica]])/Tabla1[[#This Row],[Tmedia media (°C) historica]]*100</f>
        <v>2.2935779816513757</v>
      </c>
      <c r="O388" s="3">
        <f>+(Tabla1[[#This Row],[Prec acum (mm)]]-Tabla1[[#This Row],[Prec acum (mm) historica]])/Tabla1[[#This Row],[Prec acum (mm) historica]]*100</f>
        <v>-61.764705882352942</v>
      </c>
    </row>
    <row r="389" spans="1:15" hidden="1" x14ac:dyDescent="0.25">
      <c r="A389">
        <v>1982</v>
      </c>
      <c r="B389" t="s">
        <v>19</v>
      </c>
      <c r="C389" t="s">
        <v>29</v>
      </c>
      <c r="D389" s="6">
        <v>27.7</v>
      </c>
      <c r="E389" s="6">
        <v>13.5</v>
      </c>
      <c r="F389" s="6">
        <v>20.5</v>
      </c>
      <c r="G389" s="6">
        <v>83</v>
      </c>
      <c r="H389" s="10">
        <v>28.9</v>
      </c>
      <c r="I389" s="10">
        <v>12.4</v>
      </c>
      <c r="J389" s="10">
        <v>20.7</v>
      </c>
      <c r="K389" s="10">
        <v>55</v>
      </c>
      <c r="L389" s="3">
        <f>+(Tabla1[[#This Row],[Tmax media (°C)]]-Tabla1[[#This Row],[Tmax media (°C) historica]])/Tabla1[[#This Row],[Tmax media (°C) historica]]*100</f>
        <v>4.3321299638989146</v>
      </c>
      <c r="M389" s="3">
        <f>+(Tabla1[[#This Row],[Tmin media (°C)]]-Tabla1[[#This Row],[Tmin media (°C) historica]])/Tabla1[[#This Row],[Tmin media (°C) historica]]*100</f>
        <v>-8.1481481481481453</v>
      </c>
      <c r="N389" s="3">
        <f>+(Tabla1[[#This Row],[Tmedia media (°C)]]-Tabla1[[#This Row],[Tmedia media (°C) historica]])/Tabla1[[#This Row],[Tmedia media (°C) historica]]*100</f>
        <v>0.97560975609755751</v>
      </c>
      <c r="O389" s="3">
        <f>+(Tabla1[[#This Row],[Prec acum (mm)]]-Tabla1[[#This Row],[Prec acum (mm) historica]])/Tabla1[[#This Row],[Prec acum (mm) historica]]*100</f>
        <v>-33.734939759036145</v>
      </c>
    </row>
    <row r="390" spans="1:15" hidden="1" x14ac:dyDescent="0.25">
      <c r="A390">
        <v>1987</v>
      </c>
      <c r="B390" t="s">
        <v>19</v>
      </c>
      <c r="C390" t="s">
        <v>29</v>
      </c>
      <c r="D390" s="6">
        <v>27.7</v>
      </c>
      <c r="E390" s="6">
        <v>13.5</v>
      </c>
      <c r="F390" s="6">
        <v>20.5</v>
      </c>
      <c r="G390" s="6">
        <v>83</v>
      </c>
      <c r="H390" s="10">
        <v>27.2</v>
      </c>
      <c r="I390" s="10">
        <v>13.8</v>
      </c>
      <c r="J390" s="10">
        <v>20.5</v>
      </c>
      <c r="K390" s="10">
        <v>107</v>
      </c>
      <c r="L390" s="4">
        <f>+(Tabla1[[#This Row],[Tmax media (°C)]]-Tabla1[[#This Row],[Tmax media (°C) historica]])/Tabla1[[#This Row],[Tmax media (°C) historica]]*100</f>
        <v>-1.8050541516245486</v>
      </c>
      <c r="M390" s="4">
        <f>+(Tabla1[[#This Row],[Tmin media (°C)]]-Tabla1[[#This Row],[Tmin media (°C) historica]])/Tabla1[[#This Row],[Tmin media (°C) historica]]*100</f>
        <v>2.2222222222222276</v>
      </c>
      <c r="N390" s="4">
        <f>+(Tabla1[[#This Row],[Tmedia media (°C)]]-Tabla1[[#This Row],[Tmedia media (°C) historica]])/Tabla1[[#This Row],[Tmedia media (°C) historica]]*100</f>
        <v>0</v>
      </c>
      <c r="O390" s="4">
        <f>+(Tabla1[[#This Row],[Prec acum (mm)]]-Tabla1[[#This Row],[Prec acum (mm) historica]])/Tabla1[[#This Row],[Prec acum (mm) historica]]*100</f>
        <v>28.915662650602407</v>
      </c>
    </row>
    <row r="391" spans="1:15" hidden="1" x14ac:dyDescent="0.25">
      <c r="A391">
        <v>1991</v>
      </c>
      <c r="B391" t="s">
        <v>19</v>
      </c>
      <c r="C391" t="s">
        <v>29</v>
      </c>
      <c r="D391" s="6">
        <v>27.9</v>
      </c>
      <c r="E391" s="6">
        <v>13.2</v>
      </c>
      <c r="F391" s="6">
        <v>20.399999999999999</v>
      </c>
      <c r="G391" s="6">
        <v>86</v>
      </c>
      <c r="H391" s="10">
        <v>27.9</v>
      </c>
      <c r="I391" s="10">
        <v>14.5</v>
      </c>
      <c r="J391" s="10">
        <v>21.2</v>
      </c>
      <c r="K391" s="10">
        <v>207</v>
      </c>
      <c r="L391" s="3">
        <f>+(Tabla1[[#This Row],[Tmax media (°C)]]-Tabla1[[#This Row],[Tmax media (°C) historica]])/Tabla1[[#This Row],[Tmax media (°C) historica]]*100</f>
        <v>0</v>
      </c>
      <c r="M391" s="3">
        <f>+(Tabla1[[#This Row],[Tmin media (°C)]]-Tabla1[[#This Row],[Tmin media (°C) historica]])/Tabla1[[#This Row],[Tmin media (°C) historica]]*100</f>
        <v>9.8484848484848548</v>
      </c>
      <c r="N391" s="3">
        <f>+(Tabla1[[#This Row],[Tmedia media (°C)]]-Tabla1[[#This Row],[Tmedia media (°C) historica]])/Tabla1[[#This Row],[Tmedia media (°C) historica]]*100</f>
        <v>3.9215686274509838</v>
      </c>
      <c r="O391" s="3">
        <f>+(Tabla1[[#This Row],[Prec acum (mm)]]-Tabla1[[#This Row],[Prec acum (mm) historica]])/Tabla1[[#This Row],[Prec acum (mm) historica]]*100</f>
        <v>140.69767441860466</v>
      </c>
    </row>
    <row r="392" spans="1:15" hidden="1" x14ac:dyDescent="0.25">
      <c r="A392">
        <v>1994</v>
      </c>
      <c r="B392" t="s">
        <v>19</v>
      </c>
      <c r="C392" t="s">
        <v>29</v>
      </c>
      <c r="D392" s="6">
        <v>27.9</v>
      </c>
      <c r="E392" s="6">
        <v>13.2</v>
      </c>
      <c r="F392" s="6">
        <v>20.399999999999999</v>
      </c>
      <c r="G392" s="6">
        <v>86</v>
      </c>
      <c r="H392" s="10">
        <v>27.3</v>
      </c>
      <c r="I392" s="10">
        <v>12.4</v>
      </c>
      <c r="J392" s="10">
        <v>19.8</v>
      </c>
      <c r="K392" s="10">
        <v>77</v>
      </c>
      <c r="L392" s="4">
        <f>+(Tabla1[[#This Row],[Tmax media (°C)]]-Tabla1[[#This Row],[Tmax media (°C) historica]])/Tabla1[[#This Row],[Tmax media (°C) historica]]*100</f>
        <v>-2.1505376344085949</v>
      </c>
      <c r="M392" s="4">
        <f>+(Tabla1[[#This Row],[Tmin media (°C)]]-Tabla1[[#This Row],[Tmin media (°C) historica]])/Tabla1[[#This Row],[Tmin media (°C) historica]]*100</f>
        <v>-6.0606060606060534</v>
      </c>
      <c r="N392" s="4">
        <f>+(Tabla1[[#This Row],[Tmedia media (°C)]]-Tabla1[[#This Row],[Tmedia media (°C) historica]])/Tabla1[[#This Row],[Tmedia media (°C) historica]]*100</f>
        <v>-2.9411764705882253</v>
      </c>
      <c r="O392" s="4">
        <f>+(Tabla1[[#This Row],[Prec acum (mm)]]-Tabla1[[#This Row],[Prec acum (mm) historica]])/Tabla1[[#This Row],[Prec acum (mm) historica]]*100</f>
        <v>-10.465116279069768</v>
      </c>
    </row>
    <row r="393" spans="1:15" hidden="1" x14ac:dyDescent="0.25">
      <c r="A393">
        <v>1997</v>
      </c>
      <c r="B393" t="s">
        <v>19</v>
      </c>
      <c r="C393" t="s">
        <v>29</v>
      </c>
      <c r="D393" s="6">
        <v>27.9</v>
      </c>
      <c r="E393" s="6">
        <v>13.2</v>
      </c>
      <c r="F393" s="6">
        <v>20.399999999999999</v>
      </c>
      <c r="G393" s="6">
        <v>86</v>
      </c>
      <c r="H393" s="10">
        <v>24.2</v>
      </c>
      <c r="I393" s="10">
        <v>12.4</v>
      </c>
      <c r="J393" s="10">
        <v>18.3</v>
      </c>
      <c r="K393" s="10">
        <v>79</v>
      </c>
      <c r="L393" s="3">
        <f>+(Tabla1[[#This Row],[Tmax media (°C)]]-Tabla1[[#This Row],[Tmax media (°C) historica]])/Tabla1[[#This Row],[Tmax media (°C) historica]]*100</f>
        <v>-13.261648745519711</v>
      </c>
      <c r="M393" s="3">
        <f>+(Tabla1[[#This Row],[Tmin media (°C)]]-Tabla1[[#This Row],[Tmin media (°C) historica]])/Tabla1[[#This Row],[Tmin media (°C) historica]]*100</f>
        <v>-6.0606060606060534</v>
      </c>
      <c r="N393" s="3">
        <f>+(Tabla1[[#This Row],[Tmedia media (°C)]]-Tabla1[[#This Row],[Tmedia media (°C) historica]])/Tabla1[[#This Row],[Tmedia media (°C) historica]]*100</f>
        <v>-10.294117647058814</v>
      </c>
      <c r="O393" s="3">
        <f>+(Tabla1[[#This Row],[Prec acum (mm)]]-Tabla1[[#This Row],[Prec acum (mm) historica]])/Tabla1[[#This Row],[Prec acum (mm) historica]]*100</f>
        <v>-8.1395348837209305</v>
      </c>
    </row>
    <row r="394" spans="1:15" hidden="1" x14ac:dyDescent="0.25">
      <c r="A394">
        <v>2002</v>
      </c>
      <c r="B394" t="s">
        <v>19</v>
      </c>
      <c r="C394" t="s">
        <v>29</v>
      </c>
      <c r="D394" s="6">
        <v>27.9</v>
      </c>
      <c r="E394" s="6">
        <v>13.2</v>
      </c>
      <c r="F394" s="6">
        <v>20.399999999999999</v>
      </c>
      <c r="G394" s="6">
        <v>86</v>
      </c>
      <c r="H394" s="10">
        <v>27.9</v>
      </c>
      <c r="I394" s="10">
        <v>12</v>
      </c>
      <c r="J394" s="10">
        <v>20</v>
      </c>
      <c r="K394" s="10">
        <v>110</v>
      </c>
      <c r="L394" s="4">
        <f>+(Tabla1[[#This Row],[Tmax media (°C)]]-Tabla1[[#This Row],[Tmax media (°C) historica]])/Tabla1[[#This Row],[Tmax media (°C) historica]]*100</f>
        <v>0</v>
      </c>
      <c r="M394" s="4">
        <f>+(Tabla1[[#This Row],[Tmin media (°C)]]-Tabla1[[#This Row],[Tmin media (°C) historica]])/Tabla1[[#This Row],[Tmin media (°C) historica]]*100</f>
        <v>-9.0909090909090864</v>
      </c>
      <c r="N394" s="4">
        <f>+(Tabla1[[#This Row],[Tmedia media (°C)]]-Tabla1[[#This Row],[Tmedia media (°C) historica]])/Tabla1[[#This Row],[Tmedia media (°C) historica]]*100</f>
        <v>-1.9607843137254832</v>
      </c>
      <c r="O394" s="4">
        <f>+(Tabla1[[#This Row],[Prec acum (mm)]]-Tabla1[[#This Row],[Prec acum (mm) historica]])/Tabla1[[#This Row],[Prec acum (mm) historica]]*100</f>
        <v>27.906976744186046</v>
      </c>
    </row>
    <row r="395" spans="1:15" hidden="1" x14ac:dyDescent="0.25">
      <c r="A395">
        <v>2004</v>
      </c>
      <c r="B395" t="s">
        <v>19</v>
      </c>
      <c r="C395" t="s">
        <v>29</v>
      </c>
      <c r="D395" s="6">
        <v>27.9</v>
      </c>
      <c r="E395" s="6">
        <v>13.2</v>
      </c>
      <c r="F395" s="6">
        <v>20.399999999999999</v>
      </c>
      <c r="G395" s="6">
        <v>86</v>
      </c>
      <c r="H395" s="10">
        <v>27.8</v>
      </c>
      <c r="I395" s="10">
        <v>14.5</v>
      </c>
      <c r="J395" s="10">
        <v>21.2</v>
      </c>
      <c r="K395" s="10">
        <v>112</v>
      </c>
      <c r="L395" s="3">
        <f>+(Tabla1[[#This Row],[Tmax media (°C)]]-Tabla1[[#This Row],[Tmax media (°C) historica]])/Tabla1[[#This Row],[Tmax media (°C) historica]]*100</f>
        <v>-0.35842293906809275</v>
      </c>
      <c r="M395" s="3">
        <f>+(Tabla1[[#This Row],[Tmin media (°C)]]-Tabla1[[#This Row],[Tmin media (°C) historica]])/Tabla1[[#This Row],[Tmin media (°C) historica]]*100</f>
        <v>9.8484848484848548</v>
      </c>
      <c r="N395" s="3">
        <f>+(Tabla1[[#This Row],[Tmedia media (°C)]]-Tabla1[[#This Row],[Tmedia media (°C) historica]])/Tabla1[[#This Row],[Tmedia media (°C) historica]]*100</f>
        <v>3.9215686274509838</v>
      </c>
      <c r="O395" s="3">
        <f>+(Tabla1[[#This Row],[Prec acum (mm)]]-Tabla1[[#This Row],[Prec acum (mm) historica]])/Tabla1[[#This Row],[Prec acum (mm) historica]]*100</f>
        <v>30.232558139534881</v>
      </c>
    </row>
    <row r="396" spans="1:15" hidden="1" x14ac:dyDescent="0.25">
      <c r="A396">
        <v>2015</v>
      </c>
      <c r="B396" t="s">
        <v>19</v>
      </c>
      <c r="C396" t="s">
        <v>29</v>
      </c>
      <c r="D396" s="6">
        <v>27.9</v>
      </c>
      <c r="E396" s="6">
        <v>13.2</v>
      </c>
      <c r="F396" s="6">
        <v>20.399999999999999</v>
      </c>
      <c r="G396" s="6">
        <v>86</v>
      </c>
      <c r="H396" s="10">
        <v>29.1</v>
      </c>
      <c r="I396" s="10">
        <v>15.3</v>
      </c>
      <c r="J396" s="10">
        <v>22.2</v>
      </c>
      <c r="K396" s="10">
        <v>208</v>
      </c>
      <c r="L396" s="4">
        <f>+(Tabla1[[#This Row],[Tmax media (°C)]]-Tabla1[[#This Row],[Tmax media (°C) historica]])/Tabla1[[#This Row],[Tmax media (°C) historica]]*100</f>
        <v>4.3010752688172147</v>
      </c>
      <c r="M396" s="4">
        <f>+(Tabla1[[#This Row],[Tmin media (°C)]]-Tabla1[[#This Row],[Tmin media (°C) historica]])/Tabla1[[#This Row],[Tmin media (°C) historica]]*100</f>
        <v>15.909090909090921</v>
      </c>
      <c r="N396" s="4">
        <f>+(Tabla1[[#This Row],[Tmedia media (°C)]]-Tabla1[[#This Row],[Tmedia media (°C) historica]])/Tabla1[[#This Row],[Tmedia media (°C) historica]]*100</f>
        <v>8.8235294117647101</v>
      </c>
      <c r="O396" s="4">
        <f>+(Tabla1[[#This Row],[Prec acum (mm)]]-Tabla1[[#This Row],[Prec acum (mm) historica]])/Tabla1[[#This Row],[Prec acum (mm) historica]]*100</f>
        <v>141.86046511627907</v>
      </c>
    </row>
    <row r="397" spans="1:15" hidden="1" x14ac:dyDescent="0.25">
      <c r="A397">
        <v>2023</v>
      </c>
      <c r="B397" t="s">
        <v>19</v>
      </c>
      <c r="C397" t="s">
        <v>29</v>
      </c>
      <c r="D397" s="6">
        <v>27.9</v>
      </c>
      <c r="E397" s="6">
        <v>13.2</v>
      </c>
      <c r="F397" s="6">
        <v>20.399999999999999</v>
      </c>
      <c r="G397" s="6">
        <v>86</v>
      </c>
      <c r="H397" s="10">
        <v>28.1</v>
      </c>
      <c r="I397" s="10">
        <v>15.6</v>
      </c>
      <c r="J397" s="10">
        <v>21.9</v>
      </c>
      <c r="K397" s="10">
        <v>143</v>
      </c>
      <c r="L397" s="3">
        <f>+(Tabla1[[#This Row],[Tmax media (°C)]]-Tabla1[[#This Row],[Tmax media (°C) historica]])/Tabla1[[#This Row],[Tmax media (°C) historica]]*100</f>
        <v>0.71684587813621092</v>
      </c>
      <c r="M397" s="3">
        <f>+(Tabla1[[#This Row],[Tmin media (°C)]]-Tabla1[[#This Row],[Tmin media (°C) historica]])/Tabla1[[#This Row],[Tmin media (°C) historica]]*100</f>
        <v>18.181818181818183</v>
      </c>
      <c r="N397" s="3">
        <f>+(Tabla1[[#This Row],[Tmedia media (°C)]]-Tabla1[[#This Row],[Tmedia media (°C) historica]])/Tabla1[[#This Row],[Tmedia media (°C) historica]]*100</f>
        <v>7.3529411764705888</v>
      </c>
      <c r="O397" s="3">
        <f>+(Tabla1[[#This Row],[Prec acum (mm)]]-Tabla1[[#This Row],[Prec acum (mm) historica]])/Tabla1[[#This Row],[Prec acum (mm) historica]]*100</f>
        <v>66.279069767441854</v>
      </c>
    </row>
    <row r="398" spans="1:15" hidden="1" x14ac:dyDescent="0.25">
      <c r="A398">
        <v>2015</v>
      </c>
      <c r="B398" t="s">
        <v>30</v>
      </c>
      <c r="C398" t="s">
        <v>23</v>
      </c>
      <c r="D398" s="7">
        <v>16.7</v>
      </c>
      <c r="E398" s="7">
        <v>4.0999999999999996</v>
      </c>
      <c r="F398" s="7">
        <f>+AVERAGE(Tabla1[[#This Row],[Tmax media (°C) historica]:[Tmin media (°C) historica]])</f>
        <v>10.399999999999999</v>
      </c>
      <c r="G398" s="7">
        <v>34.5</v>
      </c>
      <c r="H398" s="12">
        <v>16.399999999999999</v>
      </c>
      <c r="I398" s="12">
        <v>5.7</v>
      </c>
      <c r="J398" s="7">
        <f t="shared" ref="J398:J433" si="0">+AVERAGE(H398:I398)</f>
        <v>11.049999999999999</v>
      </c>
      <c r="K398" s="12">
        <v>89.8</v>
      </c>
      <c r="L398" s="14">
        <f>+(Tabla1[[#This Row],[Tmax media (°C)]]-Tabla1[[#This Row],[Tmax media (°C) historica]])/Tabla1[[#This Row],[Tmax media (°C) historica]]*100</f>
        <v>-1.7964071856287469</v>
      </c>
      <c r="M398" s="14">
        <f>+(Tabla1[[#This Row],[Tmin media (°C)]]-Tabla1[[#This Row],[Tmin media (°C) historica]])/Tabla1[[#This Row],[Tmin media (°C) historica]]*100</f>
        <v>39.024390243902459</v>
      </c>
      <c r="N398" s="14">
        <f>+(Tabla1[[#This Row],[Tmedia media (°C)]]-Tabla1[[#This Row],[Tmedia media (°C) historica]])/Tabla1[[#This Row],[Tmedia media (°C) historica]]*100</f>
        <v>6.2500000000000044</v>
      </c>
      <c r="O398" s="14">
        <f>+(Tabla1[[#This Row],[Prec acum (mm)]]-Tabla1[[#This Row],[Prec acum (mm) historica]])/Tabla1[[#This Row],[Prec acum (mm) historica]]*100</f>
        <v>160.28985507246375</v>
      </c>
    </row>
    <row r="399" spans="1:15" hidden="1" x14ac:dyDescent="0.25">
      <c r="A399">
        <v>2023</v>
      </c>
      <c r="B399" t="s">
        <v>30</v>
      </c>
      <c r="C399" t="s">
        <v>23</v>
      </c>
      <c r="D399" s="7">
        <v>16.7</v>
      </c>
      <c r="E399" s="7">
        <v>4.0999999999999996</v>
      </c>
      <c r="F399" s="7">
        <f>+AVERAGE(Tabla1[[#This Row],[Tmax media (°C) historica]:[Tmin media (°C) historica]])</f>
        <v>10.399999999999999</v>
      </c>
      <c r="G399" s="7">
        <v>34.5</v>
      </c>
      <c r="H399" s="12">
        <v>14.6</v>
      </c>
      <c r="I399" s="12">
        <v>3.5</v>
      </c>
      <c r="J399" s="7">
        <f t="shared" si="0"/>
        <v>9.0500000000000007</v>
      </c>
      <c r="K399" s="12">
        <v>40.200000000000003</v>
      </c>
      <c r="L399" s="14">
        <f>+(Tabla1[[#This Row],[Tmax media (°C)]]-Tabla1[[#This Row],[Tmax media (°C) historica]])/Tabla1[[#This Row],[Tmax media (°C) historica]]*100</f>
        <v>-12.574850299401197</v>
      </c>
      <c r="M399" s="14">
        <f>+(Tabla1[[#This Row],[Tmin media (°C)]]-Tabla1[[#This Row],[Tmin media (°C) historica]])/Tabla1[[#This Row],[Tmin media (°C) historica]]*100</f>
        <v>-14.634146341463408</v>
      </c>
      <c r="N399" s="14">
        <f>+(Tabla1[[#This Row],[Tmedia media (°C)]]-Tabla1[[#This Row],[Tmedia media (°C) historica]])/Tabla1[[#This Row],[Tmedia media (°C) historica]]*100</f>
        <v>-12.980769230769212</v>
      </c>
      <c r="O399" s="14">
        <f>+(Tabla1[[#This Row],[Prec acum (mm)]]-Tabla1[[#This Row],[Prec acum (mm) historica]])/Tabla1[[#This Row],[Prec acum (mm) historica]]*100</f>
        <v>16.521739130434788</v>
      </c>
    </row>
    <row r="400" spans="1:15" hidden="1" x14ac:dyDescent="0.25">
      <c r="A400">
        <v>2015</v>
      </c>
      <c r="B400" t="s">
        <v>30</v>
      </c>
      <c r="C400" t="s">
        <v>27</v>
      </c>
      <c r="D400" s="7">
        <v>29.8</v>
      </c>
      <c r="E400" s="7">
        <v>13.3</v>
      </c>
      <c r="F400" s="7">
        <f>+AVERAGE(Tabla1[[#This Row],[Tmax media (°C) historica]:[Tmin media (°C) historica]])</f>
        <v>21.55</v>
      </c>
      <c r="G400" s="7">
        <v>55.5</v>
      </c>
      <c r="H400" s="12">
        <v>30.5</v>
      </c>
      <c r="I400" s="12">
        <v>13.8</v>
      </c>
      <c r="J400" s="7">
        <f t="shared" si="0"/>
        <v>22.15</v>
      </c>
      <c r="K400" s="12">
        <v>33</v>
      </c>
      <c r="L400" s="14">
        <f>+(Tabla1[[#This Row],[Tmax media (°C)]]-Tabla1[[#This Row],[Tmax media (°C) historica]])/Tabla1[[#This Row],[Tmax media (°C) historica]]*100</f>
        <v>2.3489932885906017</v>
      </c>
      <c r="M400" s="14">
        <f>+(Tabla1[[#This Row],[Tmin media (°C)]]-Tabla1[[#This Row],[Tmin media (°C) historica]])/Tabla1[[#This Row],[Tmin media (°C) historica]]*100</f>
        <v>3.7593984962406015</v>
      </c>
      <c r="N400" s="14">
        <f>+(Tabla1[[#This Row],[Tmedia media (°C)]]-Tabla1[[#This Row],[Tmedia media (°C) historica]])/Tabla1[[#This Row],[Tmedia media (°C) historica]]*100</f>
        <v>2.7842227378190159</v>
      </c>
      <c r="O400" s="14">
        <f>+(Tabla1[[#This Row],[Prec acum (mm)]]-Tabla1[[#This Row],[Prec acum (mm) historica]])/Tabla1[[#This Row],[Prec acum (mm) historica]]*100</f>
        <v>-40.54054054054054</v>
      </c>
    </row>
    <row r="401" spans="1:15" hidden="1" x14ac:dyDescent="0.25">
      <c r="A401">
        <v>2023</v>
      </c>
      <c r="B401" t="s">
        <v>30</v>
      </c>
      <c r="C401" t="s">
        <v>27</v>
      </c>
      <c r="D401" s="7">
        <v>29.8</v>
      </c>
      <c r="E401" s="7">
        <v>13.3</v>
      </c>
      <c r="F401" s="7">
        <f>+AVERAGE(Tabla1[[#This Row],[Tmax media (°C) historica]:[Tmin media (°C) historica]])</f>
        <v>21.55</v>
      </c>
      <c r="G401" s="7">
        <v>55.5</v>
      </c>
      <c r="H401" s="12">
        <v>27.5</v>
      </c>
      <c r="I401" s="12">
        <v>12.8</v>
      </c>
      <c r="J401" s="7">
        <f t="shared" si="0"/>
        <v>20.149999999999999</v>
      </c>
      <c r="K401" s="12">
        <v>125.2</v>
      </c>
      <c r="L401" s="14">
        <f>+(Tabla1[[#This Row],[Tmax media (°C)]]-Tabla1[[#This Row],[Tmax media (°C) historica]])/Tabla1[[#This Row],[Tmax media (°C) historica]]*100</f>
        <v>-7.7181208053691304</v>
      </c>
      <c r="M401" s="14">
        <f>+(Tabla1[[#This Row],[Tmin media (°C)]]-Tabla1[[#This Row],[Tmin media (°C) historica]])/Tabla1[[#This Row],[Tmin media (°C) historica]]*100</f>
        <v>-3.7593984962406015</v>
      </c>
      <c r="N401" s="14">
        <f>+(Tabla1[[#This Row],[Tmedia media (°C)]]-Tabla1[[#This Row],[Tmedia media (°C) historica]])/Tabla1[[#This Row],[Tmedia media (°C) historica]]*100</f>
        <v>-6.4965197215777355</v>
      </c>
      <c r="O401" s="14">
        <f>+(Tabla1[[#This Row],[Prec acum (mm)]]-Tabla1[[#This Row],[Prec acum (mm) historica]])/Tabla1[[#This Row],[Prec acum (mm) historica]]*100</f>
        <v>125.58558558558559</v>
      </c>
    </row>
    <row r="402" spans="1:15" hidden="1" x14ac:dyDescent="0.25">
      <c r="A402">
        <v>2015</v>
      </c>
      <c r="B402" t="s">
        <v>30</v>
      </c>
      <c r="C402" t="s">
        <v>28</v>
      </c>
      <c r="D402" s="7">
        <v>30.8</v>
      </c>
      <c r="E402" s="7">
        <v>14.9</v>
      </c>
      <c r="F402" s="7">
        <f>+AVERAGE(Tabla1[[#This Row],[Tmax media (°C) historica]:[Tmin media (°C) historica]])</f>
        <v>22.85</v>
      </c>
      <c r="G402" s="7">
        <v>50.6</v>
      </c>
      <c r="H402" s="12">
        <v>29.4</v>
      </c>
      <c r="I402" s="12">
        <v>13.4</v>
      </c>
      <c r="J402" s="7">
        <f t="shared" si="0"/>
        <v>21.4</v>
      </c>
      <c r="K402" s="12">
        <v>0.5</v>
      </c>
      <c r="L402" s="14">
        <f>+(Tabla1[[#This Row],[Tmax media (°C)]]-Tabla1[[#This Row],[Tmax media (°C) historica]])/Tabla1[[#This Row],[Tmax media (°C) historica]]*100</f>
        <v>-4.5454545454545521</v>
      </c>
      <c r="M402" s="14">
        <f>+(Tabla1[[#This Row],[Tmin media (°C)]]-Tabla1[[#This Row],[Tmin media (°C) historica]])/Tabla1[[#This Row],[Tmin media (°C) historica]]*100</f>
        <v>-10.067114093959731</v>
      </c>
      <c r="N402" s="14">
        <f>+(Tabla1[[#This Row],[Tmedia media (°C)]]-Tabla1[[#This Row],[Tmedia media (°C) historica]])/Tabla1[[#This Row],[Tmedia media (°C) historica]]*100</f>
        <v>-6.3457330415755049</v>
      </c>
      <c r="O402" s="14">
        <f>+(Tabla1[[#This Row],[Prec acum (mm)]]-Tabla1[[#This Row],[Prec acum (mm) historica]])/Tabla1[[#This Row],[Prec acum (mm) historica]]*100</f>
        <v>-99.011857707509876</v>
      </c>
    </row>
    <row r="403" spans="1:15" hidden="1" x14ac:dyDescent="0.25">
      <c r="A403">
        <v>2023</v>
      </c>
      <c r="B403" t="s">
        <v>30</v>
      </c>
      <c r="C403" t="s">
        <v>28</v>
      </c>
      <c r="D403" s="7">
        <v>30.8</v>
      </c>
      <c r="E403" s="7">
        <v>14.9</v>
      </c>
      <c r="F403" s="7">
        <f>+AVERAGE(Tabla1[[#This Row],[Tmax media (°C) historica]:[Tmin media (°C) historica]])</f>
        <v>22.85</v>
      </c>
      <c r="G403" s="7">
        <v>50.6</v>
      </c>
      <c r="H403" s="12">
        <v>31.3</v>
      </c>
      <c r="I403" s="12">
        <v>15.9</v>
      </c>
      <c r="J403" s="7">
        <f t="shared" si="0"/>
        <v>23.6</v>
      </c>
      <c r="K403" s="12">
        <v>30.2</v>
      </c>
      <c r="L403" s="14">
        <f>+(Tabla1[[#This Row],[Tmax media (°C)]]-Tabla1[[#This Row],[Tmax media (°C) historica]])/Tabla1[[#This Row],[Tmax media (°C) historica]]*100</f>
        <v>1.6233766233766231</v>
      </c>
      <c r="M403" s="14">
        <f>+(Tabla1[[#This Row],[Tmin media (°C)]]-Tabla1[[#This Row],[Tmin media (°C) historica]])/Tabla1[[#This Row],[Tmin media (°C) historica]]*100</f>
        <v>6.7114093959731544</v>
      </c>
      <c r="N403" s="14">
        <f>+(Tabla1[[#This Row],[Tmedia media (°C)]]-Tabla1[[#This Row],[Tmedia media (°C) historica]])/Tabla1[[#This Row],[Tmedia media (°C) historica]]*100</f>
        <v>3.2822757111597372</v>
      </c>
      <c r="O403" s="14">
        <f>+(Tabla1[[#This Row],[Prec acum (mm)]]-Tabla1[[#This Row],[Prec acum (mm) historica]])/Tabla1[[#This Row],[Prec acum (mm) historica]]*100</f>
        <v>-40.316205533596836</v>
      </c>
    </row>
    <row r="404" spans="1:15" hidden="1" x14ac:dyDescent="0.25">
      <c r="A404">
        <v>2015</v>
      </c>
      <c r="B404" t="s">
        <v>30</v>
      </c>
      <c r="C404" t="s">
        <v>29</v>
      </c>
      <c r="D404" s="7">
        <v>29.5</v>
      </c>
      <c r="E404" s="7">
        <v>14.4</v>
      </c>
      <c r="F404" s="7">
        <f>+AVERAGE(Tabla1[[#This Row],[Tmax media (°C) historica]:[Tmin media (°C) historica]])</f>
        <v>21.95</v>
      </c>
      <c r="G404" s="7">
        <v>46</v>
      </c>
      <c r="H404" s="12">
        <v>29.8</v>
      </c>
      <c r="I404" s="12">
        <v>14.4</v>
      </c>
      <c r="J404" s="7">
        <f t="shared" si="0"/>
        <v>22.1</v>
      </c>
      <c r="K404" s="12">
        <v>0</v>
      </c>
      <c r="L404" s="14">
        <f>+(Tabla1[[#This Row],[Tmax media (°C)]]-Tabla1[[#This Row],[Tmax media (°C) historica]])/Tabla1[[#This Row],[Tmax media (°C) historica]]*100</f>
        <v>1.0169491525423753</v>
      </c>
      <c r="M404" s="14">
        <f>+(Tabla1[[#This Row],[Tmin media (°C)]]-Tabla1[[#This Row],[Tmin media (°C) historica]])/Tabla1[[#This Row],[Tmin media (°C) historica]]*100</f>
        <v>0</v>
      </c>
      <c r="N404" s="14">
        <f>+(Tabla1[[#This Row],[Tmedia media (°C)]]-Tabla1[[#This Row],[Tmedia media (°C) historica]])/Tabla1[[#This Row],[Tmedia media (°C) historica]]*100</f>
        <v>0.68337129840547672</v>
      </c>
      <c r="O404" s="14">
        <f>+(Tabla1[[#This Row],[Prec acum (mm)]]-Tabla1[[#This Row],[Prec acum (mm) historica]])/Tabla1[[#This Row],[Prec acum (mm) historica]]*100</f>
        <v>-100</v>
      </c>
    </row>
    <row r="405" spans="1:15" hidden="1" x14ac:dyDescent="0.25">
      <c r="A405">
        <v>2023</v>
      </c>
      <c r="B405" t="s">
        <v>30</v>
      </c>
      <c r="C405" t="s">
        <v>29</v>
      </c>
      <c r="D405" s="7">
        <v>29.5</v>
      </c>
      <c r="E405" s="7">
        <v>14.4</v>
      </c>
      <c r="F405" s="7">
        <f>+AVERAGE(Tabla1[[#This Row],[Tmax media (°C) historica]:[Tmin media (°C) historica]])</f>
        <v>21.95</v>
      </c>
      <c r="G405" s="7">
        <v>46</v>
      </c>
      <c r="H405" s="12">
        <v>29.2</v>
      </c>
      <c r="I405" s="12">
        <v>14.1</v>
      </c>
      <c r="J405" s="7">
        <f t="shared" si="0"/>
        <v>21.65</v>
      </c>
      <c r="K405" s="12">
        <v>53.2</v>
      </c>
      <c r="L405" s="14">
        <f>+(Tabla1[[#This Row],[Tmax media (°C)]]-Tabla1[[#This Row],[Tmax media (°C) historica]])/Tabla1[[#This Row],[Tmax media (°C) historica]]*100</f>
        <v>-1.0169491525423753</v>
      </c>
      <c r="M405" s="14">
        <f>+(Tabla1[[#This Row],[Tmin media (°C)]]-Tabla1[[#This Row],[Tmin media (°C) historica]])/Tabla1[[#This Row],[Tmin media (°C) historica]]*100</f>
        <v>-2.0833333333333379</v>
      </c>
      <c r="N405" s="14">
        <f>+(Tabla1[[#This Row],[Tmedia media (°C)]]-Tabla1[[#This Row],[Tmedia media (°C) historica]])/Tabla1[[#This Row],[Tmedia media (°C) historica]]*100</f>
        <v>-1.3667425968109372</v>
      </c>
      <c r="O405" s="14">
        <f>+(Tabla1[[#This Row],[Prec acum (mm)]]-Tabla1[[#This Row],[Prec acum (mm) historica]])/Tabla1[[#This Row],[Prec acum (mm) historica]]*100</f>
        <v>15.652173913043486</v>
      </c>
    </row>
    <row r="406" spans="1:15" hidden="1" x14ac:dyDescent="0.25">
      <c r="A406">
        <v>2015</v>
      </c>
      <c r="B406" t="s">
        <v>30</v>
      </c>
      <c r="C406" t="s">
        <v>22</v>
      </c>
      <c r="D406" s="7">
        <v>14.1</v>
      </c>
      <c r="E406" s="7">
        <v>3.2</v>
      </c>
      <c r="F406" s="7">
        <f>+AVERAGE(Tabla1[[#This Row],[Tmax media (°C) historica]:[Tmin media (°C) historica]])</f>
        <v>8.65</v>
      </c>
      <c r="G406" s="7">
        <v>35</v>
      </c>
      <c r="H406" s="12">
        <v>15.7</v>
      </c>
      <c r="I406" s="12">
        <v>3.9</v>
      </c>
      <c r="J406" s="7">
        <f t="shared" si="0"/>
        <v>9.7999999999999989</v>
      </c>
      <c r="K406" s="12">
        <v>54.5</v>
      </c>
      <c r="L406" s="14">
        <f>+(Tabla1[[#This Row],[Tmax media (°C)]]-Tabla1[[#This Row],[Tmax media (°C) historica]])/Tabla1[[#This Row],[Tmax media (°C) historica]]*100</f>
        <v>11.347517730496453</v>
      </c>
      <c r="M406" s="14">
        <f>+(Tabla1[[#This Row],[Tmin media (°C)]]-Tabla1[[#This Row],[Tmin media (°C) historica]])/Tabla1[[#This Row],[Tmin media (°C) historica]]*100</f>
        <v>21.874999999999993</v>
      </c>
      <c r="N406" s="14">
        <f>+(Tabla1[[#This Row],[Tmedia media (°C)]]-Tabla1[[#This Row],[Tmedia media (°C) historica]])/Tabla1[[#This Row],[Tmedia media (°C) historica]]*100</f>
        <v>13.294797687861253</v>
      </c>
      <c r="O406" s="14">
        <f>+(Tabla1[[#This Row],[Prec acum (mm)]]-Tabla1[[#This Row],[Prec acum (mm) historica]])/Tabla1[[#This Row],[Prec acum (mm) historica]]*100</f>
        <v>55.714285714285715</v>
      </c>
    </row>
    <row r="407" spans="1:15" hidden="1" x14ac:dyDescent="0.25">
      <c r="A407">
        <v>2023</v>
      </c>
      <c r="B407" t="s">
        <v>30</v>
      </c>
      <c r="C407" t="s">
        <v>22</v>
      </c>
      <c r="D407" s="7">
        <v>14.1</v>
      </c>
      <c r="E407" s="7">
        <v>3.2</v>
      </c>
      <c r="F407" s="7">
        <f>+AVERAGE(Tabla1[[#This Row],[Tmax media (°C) historica]:[Tmin media (°C) historica]])</f>
        <v>8.65</v>
      </c>
      <c r="G407" s="7">
        <v>35</v>
      </c>
      <c r="H407" s="12">
        <v>13.1</v>
      </c>
      <c r="I407" s="12">
        <v>3.7</v>
      </c>
      <c r="J407" s="7">
        <f t="shared" si="0"/>
        <v>8.4</v>
      </c>
      <c r="K407" s="12">
        <v>34.200000000000003</v>
      </c>
      <c r="L407" s="14">
        <f>+(Tabla1[[#This Row],[Tmax media (°C)]]-Tabla1[[#This Row],[Tmax media (°C) historica]])/Tabla1[[#This Row],[Tmax media (°C) historica]]*100</f>
        <v>-7.0921985815602842</v>
      </c>
      <c r="M407" s="14">
        <f>+(Tabla1[[#This Row],[Tmin media (°C)]]-Tabla1[[#This Row],[Tmin media (°C) historica]])/Tabla1[[#This Row],[Tmin media (°C) historica]]*100</f>
        <v>15.625</v>
      </c>
      <c r="N407" s="14">
        <f>+(Tabla1[[#This Row],[Tmedia media (°C)]]-Tabla1[[#This Row],[Tmedia media (°C) historica]])/Tabla1[[#This Row],[Tmedia media (°C) historica]]*100</f>
        <v>-2.8901734104046244</v>
      </c>
      <c r="O407" s="14">
        <f>+(Tabla1[[#This Row],[Prec acum (mm)]]-Tabla1[[#This Row],[Prec acum (mm) historica]])/Tabla1[[#This Row],[Prec acum (mm) historica]]*100</f>
        <v>-2.2857142857142776</v>
      </c>
    </row>
    <row r="408" spans="1:15" hidden="1" x14ac:dyDescent="0.25">
      <c r="A408">
        <v>2015</v>
      </c>
      <c r="B408" t="s">
        <v>30</v>
      </c>
      <c r="C408" t="s">
        <v>21</v>
      </c>
      <c r="D408" s="7">
        <v>15.2</v>
      </c>
      <c r="E408" s="7">
        <v>4.3</v>
      </c>
      <c r="F408" s="7">
        <f>+AVERAGE(Tabla1[[#This Row],[Tmax media (°C) historica]:[Tmin media (°C) historica]])</f>
        <v>9.75</v>
      </c>
      <c r="G408" s="7">
        <v>32.9</v>
      </c>
      <c r="H408" s="12">
        <v>16.3</v>
      </c>
      <c r="I408" s="12">
        <v>4.3</v>
      </c>
      <c r="J408" s="7">
        <f t="shared" si="0"/>
        <v>10.3</v>
      </c>
      <c r="K408" s="12">
        <v>25.8</v>
      </c>
      <c r="L408" s="14">
        <f>+(Tabla1[[#This Row],[Tmax media (°C)]]-Tabla1[[#This Row],[Tmax media (°C) historica]])/Tabla1[[#This Row],[Tmax media (°C) historica]]*100</f>
        <v>7.2368421052631682</v>
      </c>
      <c r="M408" s="14">
        <f>+(Tabla1[[#This Row],[Tmin media (°C)]]-Tabla1[[#This Row],[Tmin media (°C) historica]])/Tabla1[[#This Row],[Tmin media (°C) historica]]*100</f>
        <v>0</v>
      </c>
      <c r="N408" s="14">
        <f>+(Tabla1[[#This Row],[Tmedia media (°C)]]-Tabla1[[#This Row],[Tmedia media (°C) historica]])/Tabla1[[#This Row],[Tmedia media (°C) historica]]*100</f>
        <v>5.6410256410256476</v>
      </c>
      <c r="O408" s="14">
        <f>+(Tabla1[[#This Row],[Prec acum (mm)]]-Tabla1[[#This Row],[Prec acum (mm) historica]])/Tabla1[[#This Row],[Prec acum (mm) historica]]*100</f>
        <v>-21.580547112462</v>
      </c>
    </row>
    <row r="409" spans="1:15" hidden="1" x14ac:dyDescent="0.25">
      <c r="A409">
        <v>2023</v>
      </c>
      <c r="B409" t="s">
        <v>30</v>
      </c>
      <c r="C409" t="s">
        <v>21</v>
      </c>
      <c r="D409" s="7">
        <v>15.2</v>
      </c>
      <c r="E409" s="7">
        <v>4.3</v>
      </c>
      <c r="F409" s="7">
        <f>+AVERAGE(Tabla1[[#This Row],[Tmax media (°C) historica]:[Tmin media (°C) historica]])</f>
        <v>9.75</v>
      </c>
      <c r="G409" s="7">
        <v>32.9</v>
      </c>
      <c r="H409" s="12">
        <v>14.7</v>
      </c>
      <c r="I409" s="12">
        <v>3.6</v>
      </c>
      <c r="J409" s="7">
        <f t="shared" si="0"/>
        <v>9.15</v>
      </c>
      <c r="K409" s="12">
        <v>33.799999999999997</v>
      </c>
      <c r="L409" s="14">
        <f>+(Tabla1[[#This Row],[Tmax media (°C)]]-Tabla1[[#This Row],[Tmax media (°C) historica]])/Tabla1[[#This Row],[Tmax media (°C) historica]]*100</f>
        <v>-3.2894736842105261</v>
      </c>
      <c r="M409" s="14">
        <f>+(Tabla1[[#This Row],[Tmin media (°C)]]-Tabla1[[#This Row],[Tmin media (°C) historica]])/Tabla1[[#This Row],[Tmin media (°C) historica]]*100</f>
        <v>-16.279069767441857</v>
      </c>
      <c r="N409" s="14">
        <f>+(Tabla1[[#This Row],[Tmedia media (°C)]]-Tabla1[[#This Row],[Tmedia media (°C) historica]])/Tabla1[[#This Row],[Tmedia media (°C) historica]]*100</f>
        <v>-6.1538461538461497</v>
      </c>
      <c r="O409" s="14">
        <f>+(Tabla1[[#This Row],[Prec acum (mm)]]-Tabla1[[#This Row],[Prec acum (mm) historica]])/Tabla1[[#This Row],[Prec acum (mm) historica]]*100</f>
        <v>2.735562310030391</v>
      </c>
    </row>
    <row r="410" spans="1:15" hidden="1" x14ac:dyDescent="0.25">
      <c r="A410">
        <v>2015</v>
      </c>
      <c r="B410" t="s">
        <v>30</v>
      </c>
      <c r="C410" t="s">
        <v>26</v>
      </c>
      <c r="D410" s="7">
        <v>25.9</v>
      </c>
      <c r="E410" s="7">
        <v>10.9</v>
      </c>
      <c r="F410" s="7">
        <f>+AVERAGE(Tabla1[[#This Row],[Tmax media (°C) historica]:[Tmin media (°C) historica]])</f>
        <v>18.399999999999999</v>
      </c>
      <c r="G410" s="7">
        <v>56.1</v>
      </c>
      <c r="H410" s="12">
        <v>26.4</v>
      </c>
      <c r="I410" s="12">
        <v>10.199999999999999</v>
      </c>
      <c r="J410" s="7">
        <f t="shared" si="0"/>
        <v>18.299999999999997</v>
      </c>
      <c r="K410" s="12">
        <v>20.2</v>
      </c>
      <c r="L410" s="14">
        <f>+(Tabla1[[#This Row],[Tmax media (°C)]]-Tabla1[[#This Row],[Tmax media (°C) historica]])/Tabla1[[#This Row],[Tmax media (°C) historica]]*100</f>
        <v>1.9305019305019304</v>
      </c>
      <c r="M410" s="14">
        <f>+(Tabla1[[#This Row],[Tmin media (°C)]]-Tabla1[[#This Row],[Tmin media (°C) historica]])/Tabla1[[#This Row],[Tmin media (°C) historica]]*100</f>
        <v>-6.4220183486238636</v>
      </c>
      <c r="N410" s="14">
        <f>+(Tabla1[[#This Row],[Tmedia media (°C)]]-Tabla1[[#This Row],[Tmedia media (°C) historica]])/Tabla1[[#This Row],[Tmedia media (°C) historica]]*100</f>
        <v>-0.54347826086957296</v>
      </c>
      <c r="O410" s="14">
        <f>+(Tabla1[[#This Row],[Prec acum (mm)]]-Tabla1[[#This Row],[Prec acum (mm) historica]])/Tabla1[[#This Row],[Prec acum (mm) historica]]*100</f>
        <v>-63.992869875222823</v>
      </c>
    </row>
    <row r="411" spans="1:15" hidden="1" x14ac:dyDescent="0.25">
      <c r="A411">
        <v>2023</v>
      </c>
      <c r="B411" t="s">
        <v>30</v>
      </c>
      <c r="C411" t="s">
        <v>26</v>
      </c>
      <c r="D411" s="7">
        <v>25.9</v>
      </c>
      <c r="E411" s="7">
        <v>10.9</v>
      </c>
      <c r="F411" s="7">
        <f>+AVERAGE(Tabla1[[#This Row],[Tmax media (°C) historica]:[Tmin media (°C) historica]])</f>
        <v>18.399999999999999</v>
      </c>
      <c r="G411" s="7">
        <v>56.1</v>
      </c>
      <c r="H411" s="12">
        <v>26.3</v>
      </c>
      <c r="I411" s="12">
        <v>10.7</v>
      </c>
      <c r="J411" s="7">
        <f t="shared" si="0"/>
        <v>18.5</v>
      </c>
      <c r="K411" s="12">
        <v>87.5</v>
      </c>
      <c r="L411" s="14">
        <f>+(Tabla1[[#This Row],[Tmax media (°C)]]-Tabla1[[#This Row],[Tmax media (°C) historica]])/Tabla1[[#This Row],[Tmax media (°C) historica]]*100</f>
        <v>1.5444015444015529</v>
      </c>
      <c r="M411" s="14">
        <f>+(Tabla1[[#This Row],[Tmin media (°C)]]-Tabla1[[#This Row],[Tmin media (°C) historica]])/Tabla1[[#This Row],[Tmin media (°C) historica]]*100</f>
        <v>-1.8348623853211108</v>
      </c>
      <c r="N411" s="14">
        <f>+(Tabla1[[#This Row],[Tmedia media (°C)]]-Tabla1[[#This Row],[Tmedia media (°C) historica]])/Tabla1[[#This Row],[Tmedia media (°C) historica]]*100</f>
        <v>0.54347826086957296</v>
      </c>
      <c r="O411" s="14">
        <f>+(Tabla1[[#This Row],[Prec acum (mm)]]-Tabla1[[#This Row],[Prec acum (mm) historica]])/Tabla1[[#This Row],[Prec acum (mm) historica]]*100</f>
        <v>55.971479500891263</v>
      </c>
    </row>
    <row r="412" spans="1:15" hidden="1" x14ac:dyDescent="0.25">
      <c r="A412">
        <v>2015</v>
      </c>
      <c r="B412" t="s">
        <v>30</v>
      </c>
      <c r="C412" t="s">
        <v>25</v>
      </c>
      <c r="D412" s="7">
        <v>21.2</v>
      </c>
      <c r="E412" s="7">
        <v>7.7</v>
      </c>
      <c r="F412" s="7">
        <f>+AVERAGE(Tabla1[[#This Row],[Tmax media (°C) historica]:[Tmin media (°C) historica]])</f>
        <v>14.45</v>
      </c>
      <c r="G412" s="7">
        <v>38</v>
      </c>
      <c r="H412" s="12">
        <v>17.8</v>
      </c>
      <c r="I412" s="12">
        <v>5.7</v>
      </c>
      <c r="J412" s="7">
        <f t="shared" si="0"/>
        <v>11.75</v>
      </c>
      <c r="K412" s="12">
        <v>74.5</v>
      </c>
      <c r="L412" s="14">
        <f>+(Tabla1[[#This Row],[Tmax media (°C)]]-Tabla1[[#This Row],[Tmax media (°C) historica]])/Tabla1[[#This Row],[Tmax media (°C) historica]]*100</f>
        <v>-16.037735849056599</v>
      </c>
      <c r="M412" s="14">
        <f>+(Tabla1[[#This Row],[Tmin media (°C)]]-Tabla1[[#This Row],[Tmin media (°C) historica]])/Tabla1[[#This Row],[Tmin media (°C) historica]]*100</f>
        <v>-25.97402597402597</v>
      </c>
      <c r="N412" s="14">
        <f>+(Tabla1[[#This Row],[Tmedia media (°C)]]-Tabla1[[#This Row],[Tmedia media (°C) historica]])/Tabla1[[#This Row],[Tmedia media (°C) historica]]*100</f>
        <v>-18.685121107266429</v>
      </c>
      <c r="O412" s="14">
        <f>+(Tabla1[[#This Row],[Prec acum (mm)]]-Tabla1[[#This Row],[Prec acum (mm) historica]])/Tabla1[[#This Row],[Prec acum (mm) historica]]*100</f>
        <v>96.05263157894737</v>
      </c>
    </row>
    <row r="413" spans="1:15" hidden="1" x14ac:dyDescent="0.25">
      <c r="A413">
        <v>2023</v>
      </c>
      <c r="B413" t="s">
        <v>30</v>
      </c>
      <c r="C413" t="s">
        <v>25</v>
      </c>
      <c r="D413" s="7">
        <v>21.2</v>
      </c>
      <c r="E413" s="7">
        <v>7.7</v>
      </c>
      <c r="F413" s="7">
        <f>+AVERAGE(Tabla1[[#This Row],[Tmax media (°C) historica]:[Tmin media (°C) historica]])</f>
        <v>14.45</v>
      </c>
      <c r="G413" s="7">
        <v>38</v>
      </c>
      <c r="H413" s="12">
        <v>20.5</v>
      </c>
      <c r="I413" s="12">
        <v>7.9</v>
      </c>
      <c r="J413" s="7">
        <f t="shared" si="0"/>
        <v>14.2</v>
      </c>
      <c r="K413" s="12">
        <v>9.5</v>
      </c>
      <c r="L413" s="14">
        <f>+(Tabla1[[#This Row],[Tmax media (°C)]]-Tabla1[[#This Row],[Tmax media (°C) historica]])/Tabla1[[#This Row],[Tmax media (°C) historica]]*100</f>
        <v>-3.3018867924528266</v>
      </c>
      <c r="M413" s="14">
        <f>+(Tabla1[[#This Row],[Tmin media (°C)]]-Tabla1[[#This Row],[Tmin media (°C) historica]])/Tabla1[[#This Row],[Tmin media (°C) historica]]*100</f>
        <v>2.5974025974025996</v>
      </c>
      <c r="N413" s="14">
        <f>+(Tabla1[[#This Row],[Tmedia media (°C)]]-Tabla1[[#This Row],[Tmedia media (°C) historica]])/Tabla1[[#This Row],[Tmedia media (°C) historica]]*100</f>
        <v>-1.7301038062283738</v>
      </c>
      <c r="O413" s="14">
        <f>+(Tabla1[[#This Row],[Prec acum (mm)]]-Tabla1[[#This Row],[Prec acum (mm) historica]])/Tabla1[[#This Row],[Prec acum (mm) historica]]*100</f>
        <v>-75</v>
      </c>
    </row>
    <row r="414" spans="1:15" hidden="1" x14ac:dyDescent="0.25">
      <c r="A414">
        <v>2015</v>
      </c>
      <c r="B414" t="s">
        <v>30</v>
      </c>
      <c r="C414" t="s">
        <v>24</v>
      </c>
      <c r="D414" s="7">
        <v>18.5</v>
      </c>
      <c r="E414" s="7">
        <v>5.7</v>
      </c>
      <c r="F414" s="7">
        <f>+AVERAGE(Tabla1[[#This Row],[Tmax media (°C) historica]:[Tmin media (°C) historica]])</f>
        <v>12.1</v>
      </c>
      <c r="G414" s="7">
        <v>39.1</v>
      </c>
      <c r="H414" s="12">
        <v>17.7</v>
      </c>
      <c r="I414" s="12">
        <v>3.9</v>
      </c>
      <c r="J414" s="7">
        <f t="shared" si="0"/>
        <v>10.799999999999999</v>
      </c>
      <c r="K414" s="12">
        <v>19.5</v>
      </c>
      <c r="L414" s="14">
        <f>+(Tabla1[[#This Row],[Tmax media (°C)]]-Tabla1[[#This Row],[Tmax media (°C) historica]])/Tabla1[[#This Row],[Tmax media (°C) historica]]*100</f>
        <v>-4.3243243243243281</v>
      </c>
      <c r="M414" s="14">
        <f>+(Tabla1[[#This Row],[Tmin media (°C)]]-Tabla1[[#This Row],[Tmin media (°C) historica]])/Tabla1[[#This Row],[Tmin media (°C) historica]]*100</f>
        <v>-31.578947368421055</v>
      </c>
      <c r="N414" s="14">
        <f>+(Tabla1[[#This Row],[Tmedia media (°C)]]-Tabla1[[#This Row],[Tmedia media (°C) historica]])/Tabla1[[#This Row],[Tmedia media (°C) historica]]*100</f>
        <v>-10.743801652892568</v>
      </c>
      <c r="O414" s="14">
        <f>+(Tabla1[[#This Row],[Prec acum (mm)]]-Tabla1[[#This Row],[Prec acum (mm) historica]])/Tabla1[[#This Row],[Prec acum (mm) historica]]*100</f>
        <v>-50.127877237851656</v>
      </c>
    </row>
    <row r="415" spans="1:15" hidden="1" x14ac:dyDescent="0.25">
      <c r="A415">
        <v>2023</v>
      </c>
      <c r="B415" t="s">
        <v>30</v>
      </c>
      <c r="C415" t="s">
        <v>24</v>
      </c>
      <c r="D415" s="7">
        <v>18.5</v>
      </c>
      <c r="E415" s="7">
        <v>5.7</v>
      </c>
      <c r="F415" s="7">
        <f>+AVERAGE(Tabla1[[#This Row],[Tmax media (°C) historica]:[Tmin media (°C) historica]])</f>
        <v>12.1</v>
      </c>
      <c r="G415" s="7">
        <v>39.1</v>
      </c>
      <c r="H415" s="12">
        <v>16.2</v>
      </c>
      <c r="I415" s="12">
        <v>7.2</v>
      </c>
      <c r="J415" s="7">
        <f t="shared" si="0"/>
        <v>11.7</v>
      </c>
      <c r="K415" s="12">
        <v>55</v>
      </c>
      <c r="L415" s="14">
        <f>+(Tabla1[[#This Row],[Tmax media (°C)]]-Tabla1[[#This Row],[Tmax media (°C) historica]])/Tabla1[[#This Row],[Tmax media (°C) historica]]*100</f>
        <v>-12.432432432432435</v>
      </c>
      <c r="M415" s="14">
        <f>+(Tabla1[[#This Row],[Tmin media (°C)]]-Tabla1[[#This Row],[Tmin media (°C) historica]])/Tabla1[[#This Row],[Tmin media (°C) historica]]*100</f>
        <v>26.315789473684209</v>
      </c>
      <c r="N415" s="14">
        <f>+(Tabla1[[#This Row],[Tmedia media (°C)]]-Tabla1[[#This Row],[Tmedia media (°C) historica]])/Tabla1[[#This Row],[Tmedia media (°C) historica]]*100</f>
        <v>-3.3057851239669449</v>
      </c>
      <c r="O415" s="14">
        <f>+(Tabla1[[#This Row],[Prec acum (mm)]]-Tabla1[[#This Row],[Prec acum (mm) historica]])/Tabla1[[#This Row],[Prec acum (mm) historica]]*100</f>
        <v>40.664961636828636</v>
      </c>
    </row>
    <row r="416" spans="1:15" hidden="1" x14ac:dyDescent="0.25">
      <c r="A416">
        <v>2015</v>
      </c>
      <c r="B416" t="s">
        <v>31</v>
      </c>
      <c r="C416" t="s">
        <v>23</v>
      </c>
      <c r="D416" s="7">
        <v>16.100000000000001</v>
      </c>
      <c r="E416" s="7">
        <v>3.8</v>
      </c>
      <c r="F416" s="7">
        <f>+AVERAGE(Tabla1[[#This Row],[Tmax media (°C) historica]:[Tmin media (°C) historica]])</f>
        <v>9.9500000000000011</v>
      </c>
      <c r="G416" s="7">
        <v>17.7</v>
      </c>
      <c r="H416" s="12">
        <v>16.3</v>
      </c>
      <c r="I416" s="12">
        <v>5.7</v>
      </c>
      <c r="J416" s="7">
        <f t="shared" si="0"/>
        <v>11</v>
      </c>
      <c r="K416" s="12">
        <v>172</v>
      </c>
      <c r="L416" s="14">
        <f>+(Tabla1[[#This Row],[Tmax media (°C)]]-Tabla1[[#This Row],[Tmax media (°C) historica]])/Tabla1[[#This Row],[Tmax media (°C) historica]]*100</f>
        <v>1.242236024844716</v>
      </c>
      <c r="M416" s="14">
        <f>+(Tabla1[[#This Row],[Tmin media (°C)]]-Tabla1[[#This Row],[Tmin media (°C) historica]])/Tabla1[[#This Row],[Tmin media (°C) historica]]*100</f>
        <v>50.000000000000014</v>
      </c>
      <c r="N416" s="14">
        <f>+(Tabla1[[#This Row],[Tmedia media (°C)]]-Tabla1[[#This Row],[Tmedia media (°C) historica]])/Tabla1[[#This Row],[Tmedia media (°C) historica]]*100</f>
        <v>10.552763819095466</v>
      </c>
      <c r="O416" s="13">
        <f>+(Tabla1[[#This Row],[Prec acum (mm)]]-Tabla1[[#This Row],[Prec acum (mm) historica]])/Tabla1[[#This Row],[Prec acum (mm) historica]]*100</f>
        <v>871.75141242937855</v>
      </c>
    </row>
    <row r="417" spans="1:15" hidden="1" x14ac:dyDescent="0.25">
      <c r="A417">
        <v>2023</v>
      </c>
      <c r="B417" t="s">
        <v>31</v>
      </c>
      <c r="C417" t="s">
        <v>23</v>
      </c>
      <c r="D417" s="7">
        <v>16.100000000000001</v>
      </c>
      <c r="E417" s="7">
        <v>3.8</v>
      </c>
      <c r="F417" s="7">
        <f>+AVERAGE(Tabla1[[#This Row],[Tmax media (°C) historica]:[Tmin media (°C) historica]])</f>
        <v>9.9500000000000011</v>
      </c>
      <c r="G417" s="7">
        <v>17.7</v>
      </c>
      <c r="H417" s="12">
        <v>15.3</v>
      </c>
      <c r="I417" s="12">
        <v>3.6</v>
      </c>
      <c r="J417" s="7">
        <f t="shared" si="0"/>
        <v>9.4500000000000011</v>
      </c>
      <c r="K417" s="12">
        <v>41.5</v>
      </c>
      <c r="L417" s="14">
        <f>+(Tabla1[[#This Row],[Tmax media (°C)]]-Tabla1[[#This Row],[Tmax media (°C) historica]])/Tabla1[[#This Row],[Tmax media (°C) historica]]*100</f>
        <v>-4.968944099378886</v>
      </c>
      <c r="M417" s="14">
        <f>+(Tabla1[[#This Row],[Tmin media (°C)]]-Tabla1[[#This Row],[Tmin media (°C) historica]])/Tabla1[[#This Row],[Tmin media (°C) historica]]*100</f>
        <v>-5.2631578947368354</v>
      </c>
      <c r="N417" s="14">
        <f>+(Tabla1[[#This Row],[Tmedia media (°C)]]-Tabla1[[#This Row],[Tmedia media (°C) historica]])/Tabla1[[#This Row],[Tmedia media (°C) historica]]*100</f>
        <v>-5.0251256281407031</v>
      </c>
      <c r="O417" s="13">
        <f>+(Tabla1[[#This Row],[Prec acum (mm)]]-Tabla1[[#This Row],[Prec acum (mm) historica]])/Tabla1[[#This Row],[Prec acum (mm) historica]]*100</f>
        <v>134.4632768361582</v>
      </c>
    </row>
    <row r="418" spans="1:15" hidden="1" x14ac:dyDescent="0.25">
      <c r="A418">
        <v>2015</v>
      </c>
      <c r="B418" t="s">
        <v>31</v>
      </c>
      <c r="C418" t="s">
        <v>27</v>
      </c>
      <c r="D418" s="7">
        <v>28.1</v>
      </c>
      <c r="E418" s="7">
        <v>12.2</v>
      </c>
      <c r="F418" s="7">
        <f>+AVERAGE(Tabla1[[#This Row],[Tmax media (°C) historica]:[Tmin media (°C) historica]])</f>
        <v>20.149999999999999</v>
      </c>
      <c r="G418" s="7">
        <v>43.2</v>
      </c>
      <c r="H418" s="12">
        <v>28.7</v>
      </c>
      <c r="I418" s="12">
        <v>12.8</v>
      </c>
      <c r="J418" s="7">
        <f t="shared" si="0"/>
        <v>20.75</v>
      </c>
      <c r="K418" s="12">
        <v>14.5</v>
      </c>
      <c r="L418" s="14">
        <f>+(Tabla1[[#This Row],[Tmax media (°C)]]-Tabla1[[#This Row],[Tmax media (°C) historica]])/Tabla1[[#This Row],[Tmax media (°C) historica]]*100</f>
        <v>2.1352313167259709</v>
      </c>
      <c r="M418" s="14">
        <f>+(Tabla1[[#This Row],[Tmin media (°C)]]-Tabla1[[#This Row],[Tmin media (°C) historica]])/Tabla1[[#This Row],[Tmin media (°C) historica]]*100</f>
        <v>4.9180327868852576</v>
      </c>
      <c r="N418" s="14">
        <f>+(Tabla1[[#This Row],[Tmedia media (°C)]]-Tabla1[[#This Row],[Tmedia media (°C) historica]])/Tabla1[[#This Row],[Tmedia media (°C) historica]]*100</f>
        <v>2.9776674937965333</v>
      </c>
      <c r="O418" s="13">
        <f>+(Tabla1[[#This Row],[Prec acum (mm)]]-Tabla1[[#This Row],[Prec acum (mm) historica]])/Tabla1[[#This Row],[Prec acum (mm) historica]]*100</f>
        <v>-66.43518518518519</v>
      </c>
    </row>
    <row r="419" spans="1:15" hidden="1" x14ac:dyDescent="0.25">
      <c r="A419">
        <v>2023</v>
      </c>
      <c r="B419" t="s">
        <v>31</v>
      </c>
      <c r="C419" t="s">
        <v>27</v>
      </c>
      <c r="D419" s="7">
        <v>28.1</v>
      </c>
      <c r="E419" s="7">
        <v>12.2</v>
      </c>
      <c r="F419" s="7">
        <f>+AVERAGE(Tabla1[[#This Row],[Tmax media (°C) historica]:[Tmin media (°C) historica]])</f>
        <v>20.149999999999999</v>
      </c>
      <c r="G419" s="7">
        <v>43.2</v>
      </c>
      <c r="H419" s="12">
        <v>26.7</v>
      </c>
      <c r="I419" s="12">
        <v>11.1</v>
      </c>
      <c r="J419" s="7">
        <f t="shared" si="0"/>
        <v>18.899999999999999</v>
      </c>
      <c r="K419" s="12">
        <v>117.5</v>
      </c>
      <c r="L419" s="14">
        <f>+(Tabla1[[#This Row],[Tmax media (°C)]]-Tabla1[[#This Row],[Tmax media (°C) historica]])/Tabla1[[#This Row],[Tmax media (°C) historica]]*100</f>
        <v>-4.9822064056939581</v>
      </c>
      <c r="M419" s="14">
        <f>+(Tabla1[[#This Row],[Tmin media (°C)]]-Tabla1[[#This Row],[Tmin media (°C) historica]])/Tabla1[[#This Row],[Tmin media (°C) historica]]*100</f>
        <v>-9.0163934426229488</v>
      </c>
      <c r="N419" s="14">
        <f>+(Tabla1[[#This Row],[Tmedia media (°C)]]-Tabla1[[#This Row],[Tmedia media (°C) historica]])/Tabla1[[#This Row],[Tmedia media (°C) historica]]*100</f>
        <v>-6.2034739454094296</v>
      </c>
      <c r="O419" s="13">
        <f>+(Tabla1[[#This Row],[Prec acum (mm)]]-Tabla1[[#This Row],[Prec acum (mm) historica]])/Tabla1[[#This Row],[Prec acum (mm) historica]]*100</f>
        <v>171.99074074074073</v>
      </c>
    </row>
    <row r="420" spans="1:15" hidden="1" x14ac:dyDescent="0.25">
      <c r="A420">
        <v>2015</v>
      </c>
      <c r="B420" t="s">
        <v>31</v>
      </c>
      <c r="C420" t="s">
        <v>28</v>
      </c>
      <c r="D420" s="7">
        <v>29.6</v>
      </c>
      <c r="E420" s="7">
        <v>13.8</v>
      </c>
      <c r="F420" s="7">
        <f>+AVERAGE(Tabla1[[#This Row],[Tmax media (°C) historica]:[Tmin media (°C) historica]])</f>
        <v>21.700000000000003</v>
      </c>
      <c r="G420" s="7">
        <v>41.4</v>
      </c>
      <c r="H420" s="12">
        <v>28.4</v>
      </c>
      <c r="I420" s="12">
        <v>12.2</v>
      </c>
      <c r="J420" s="7">
        <f t="shared" si="0"/>
        <v>20.299999999999997</v>
      </c>
      <c r="K420" s="12">
        <v>50</v>
      </c>
      <c r="L420" s="14">
        <f>+(Tabla1[[#This Row],[Tmax media (°C)]]-Tabla1[[#This Row],[Tmax media (°C) historica]])/Tabla1[[#This Row],[Tmax media (°C) historica]]*100</f>
        <v>-4.0540540540540633</v>
      </c>
      <c r="M420" s="14">
        <f>+(Tabla1[[#This Row],[Tmin media (°C)]]-Tabla1[[#This Row],[Tmin media (°C) historica]])/Tabla1[[#This Row],[Tmin media (°C) historica]]*100</f>
        <v>-11.594202898550735</v>
      </c>
      <c r="N420" s="14">
        <f>+(Tabla1[[#This Row],[Tmedia media (°C)]]-Tabla1[[#This Row],[Tmedia media (°C) historica]])/Tabla1[[#This Row],[Tmedia media (°C) historica]]*100</f>
        <v>-6.4516129032258309</v>
      </c>
      <c r="O420" s="13">
        <f>+(Tabla1[[#This Row],[Prec acum (mm)]]-Tabla1[[#This Row],[Prec acum (mm) historica]])/Tabla1[[#This Row],[Prec acum (mm) historica]]*100</f>
        <v>20.772946859903385</v>
      </c>
    </row>
    <row r="421" spans="1:15" hidden="1" x14ac:dyDescent="0.25">
      <c r="A421">
        <v>2023</v>
      </c>
      <c r="B421" t="s">
        <v>31</v>
      </c>
      <c r="C421" t="s">
        <v>28</v>
      </c>
      <c r="D421" s="7">
        <v>29.6</v>
      </c>
      <c r="E421" s="7">
        <v>13.8</v>
      </c>
      <c r="F421" s="7">
        <f>+AVERAGE(Tabla1[[#This Row],[Tmax media (°C) historica]:[Tmin media (°C) historica]])</f>
        <v>21.700000000000003</v>
      </c>
      <c r="G421" s="7">
        <v>41.4</v>
      </c>
      <c r="H421" s="12">
        <v>29.2</v>
      </c>
      <c r="I421" s="12">
        <v>14.9</v>
      </c>
      <c r="J421" s="7">
        <f t="shared" si="0"/>
        <v>22.05</v>
      </c>
      <c r="K421" s="12">
        <v>72.5</v>
      </c>
      <c r="L421" s="14">
        <f>+(Tabla1[[#This Row],[Tmax media (°C)]]-Tabla1[[#This Row],[Tmax media (°C) historica]])/Tabla1[[#This Row],[Tmax media (°C) historica]]*100</f>
        <v>-1.3513513513513586</v>
      </c>
      <c r="M421" s="14">
        <f>+(Tabla1[[#This Row],[Tmin media (°C)]]-Tabla1[[#This Row],[Tmin media (°C) historica]])/Tabla1[[#This Row],[Tmin media (°C) historica]]*100</f>
        <v>7.9710144927536195</v>
      </c>
      <c r="N421" s="14">
        <f>+(Tabla1[[#This Row],[Tmedia media (°C)]]-Tabla1[[#This Row],[Tmedia media (°C) historica]])/Tabla1[[#This Row],[Tmedia media (°C) historica]]*100</f>
        <v>1.6129032258064415</v>
      </c>
      <c r="O421" s="13">
        <f>+(Tabla1[[#This Row],[Prec acum (mm)]]-Tabla1[[#This Row],[Prec acum (mm) historica]])/Tabla1[[#This Row],[Prec acum (mm) historica]]*100</f>
        <v>75.120772946859901</v>
      </c>
    </row>
    <row r="422" spans="1:15" hidden="1" x14ac:dyDescent="0.25">
      <c r="A422">
        <v>2015</v>
      </c>
      <c r="B422" t="s">
        <v>31</v>
      </c>
      <c r="C422" t="s">
        <v>29</v>
      </c>
      <c r="D422" s="7">
        <v>28.5</v>
      </c>
      <c r="E422" s="7">
        <v>13.2</v>
      </c>
      <c r="F422" s="7">
        <f>+AVERAGE(Tabla1[[#This Row],[Tmax media (°C) historica]:[Tmin media (°C) historica]])</f>
        <v>20.85</v>
      </c>
      <c r="G422" s="7">
        <v>24.5</v>
      </c>
      <c r="H422" s="12">
        <v>28.8</v>
      </c>
      <c r="I422" s="12">
        <v>13.1</v>
      </c>
      <c r="J422" s="7">
        <f t="shared" si="0"/>
        <v>20.95</v>
      </c>
      <c r="K422" s="12">
        <v>88.5</v>
      </c>
      <c r="L422" s="14">
        <f>+(Tabla1[[#This Row],[Tmax media (°C)]]-Tabla1[[#This Row],[Tmax media (°C) historica]])/Tabla1[[#This Row],[Tmax media (°C) historica]]*100</f>
        <v>1.052631578947371</v>
      </c>
      <c r="M422" s="14">
        <f>+(Tabla1[[#This Row],[Tmin media (°C)]]-Tabla1[[#This Row],[Tmin media (°C) historica]])/Tabla1[[#This Row],[Tmin media (°C) historica]]*100</f>
        <v>-0.7575757575757549</v>
      </c>
      <c r="N422" s="14">
        <f>+(Tabla1[[#This Row],[Tmedia media (°C)]]-Tabla1[[#This Row],[Tmedia media (°C) historica]])/Tabla1[[#This Row],[Tmedia media (°C) historica]]*100</f>
        <v>0.4796163069544262</v>
      </c>
      <c r="O422" s="13">
        <f>+(Tabla1[[#This Row],[Prec acum (mm)]]-Tabla1[[#This Row],[Prec acum (mm) historica]])/Tabla1[[#This Row],[Prec acum (mm) historica]]*100</f>
        <v>261.22448979591837</v>
      </c>
    </row>
    <row r="423" spans="1:15" hidden="1" x14ac:dyDescent="0.25">
      <c r="A423">
        <v>2023</v>
      </c>
      <c r="B423" t="s">
        <v>31</v>
      </c>
      <c r="C423" t="s">
        <v>29</v>
      </c>
      <c r="D423" s="7">
        <v>28.5</v>
      </c>
      <c r="E423" s="7">
        <v>13.2</v>
      </c>
      <c r="F423" s="7">
        <f>+AVERAGE(Tabla1[[#This Row],[Tmax media (°C) historica]:[Tmin media (°C) historica]])</f>
        <v>20.85</v>
      </c>
      <c r="G423" s="7">
        <v>24.5</v>
      </c>
      <c r="H423" s="12"/>
      <c r="I423" s="12"/>
      <c r="J423" s="7"/>
      <c r="K423" s="12">
        <v>158.5</v>
      </c>
      <c r="L423" s="14">
        <f>+(Tabla1[[#This Row],[Tmax media (°C)]]-Tabla1[[#This Row],[Tmax media (°C) historica]])/Tabla1[[#This Row],[Tmax media (°C) historica]]*100</f>
        <v>-100</v>
      </c>
      <c r="M423" s="14">
        <f>+(Tabla1[[#This Row],[Tmin media (°C)]]-Tabla1[[#This Row],[Tmin media (°C) historica]])/Tabla1[[#This Row],[Tmin media (°C) historica]]*100</f>
        <v>-100</v>
      </c>
      <c r="N423" s="14">
        <f>+(Tabla1[[#This Row],[Tmedia media (°C)]]-Tabla1[[#This Row],[Tmedia media (°C) historica]])/Tabla1[[#This Row],[Tmedia media (°C) historica]]*100</f>
        <v>-100</v>
      </c>
      <c r="O423" s="13">
        <f>+(Tabla1[[#This Row],[Prec acum (mm)]]-Tabla1[[#This Row],[Prec acum (mm) historica]])/Tabla1[[#This Row],[Prec acum (mm) historica]]*100</f>
        <v>546.9387755102041</v>
      </c>
    </row>
    <row r="424" spans="1:15" hidden="1" x14ac:dyDescent="0.25">
      <c r="A424">
        <v>2015</v>
      </c>
      <c r="B424" t="s">
        <v>31</v>
      </c>
      <c r="C424" t="s">
        <v>22</v>
      </c>
      <c r="D424" s="7">
        <v>14</v>
      </c>
      <c r="E424" s="7">
        <v>2.7</v>
      </c>
      <c r="F424" s="7">
        <f>+AVERAGE(Tabla1[[#This Row],[Tmax media (°C) historica]:[Tmin media (°C) historica]])</f>
        <v>8.35</v>
      </c>
      <c r="G424" s="7">
        <v>42.5</v>
      </c>
      <c r="H424" s="12">
        <v>15.4</v>
      </c>
      <c r="I424" s="12">
        <v>3.8</v>
      </c>
      <c r="J424" s="7">
        <f t="shared" si="0"/>
        <v>9.6</v>
      </c>
      <c r="K424" s="12">
        <v>44.5</v>
      </c>
      <c r="L424" s="14">
        <f>+(Tabla1[[#This Row],[Tmax media (°C)]]-Tabla1[[#This Row],[Tmax media (°C) historica]])/Tabla1[[#This Row],[Tmax media (°C) historica]]*100</f>
        <v>10.000000000000002</v>
      </c>
      <c r="M424" s="14">
        <f>+(Tabla1[[#This Row],[Tmin media (°C)]]-Tabla1[[#This Row],[Tmin media (°C) historica]])/Tabla1[[#This Row],[Tmin media (°C) historica]]*100</f>
        <v>40.740740740740726</v>
      </c>
      <c r="N424" s="14">
        <f>+(Tabla1[[#This Row],[Tmedia media (°C)]]-Tabla1[[#This Row],[Tmedia media (°C) historica]])/Tabla1[[#This Row],[Tmedia media (°C) historica]]*100</f>
        <v>14.970059880239523</v>
      </c>
      <c r="O424" s="13">
        <f>+(Tabla1[[#This Row],[Prec acum (mm)]]-Tabla1[[#This Row],[Prec acum (mm) historica]])/Tabla1[[#This Row],[Prec acum (mm) historica]]*100</f>
        <v>4.7058823529411766</v>
      </c>
    </row>
    <row r="425" spans="1:15" hidden="1" x14ac:dyDescent="0.25">
      <c r="A425">
        <v>2023</v>
      </c>
      <c r="B425" t="s">
        <v>31</v>
      </c>
      <c r="C425" t="s">
        <v>22</v>
      </c>
      <c r="D425" s="7">
        <v>14</v>
      </c>
      <c r="E425" s="7">
        <v>2.7</v>
      </c>
      <c r="F425" s="7">
        <f>+AVERAGE(Tabla1[[#This Row],[Tmax media (°C) historica]:[Tmin media (°C) historica]])</f>
        <v>8.35</v>
      </c>
      <c r="G425" s="7">
        <v>42.5</v>
      </c>
      <c r="H425" s="12">
        <v>13.7</v>
      </c>
      <c r="I425" s="12">
        <v>3.6</v>
      </c>
      <c r="J425" s="7">
        <f t="shared" si="0"/>
        <v>8.65</v>
      </c>
      <c r="K425" s="12">
        <v>144.5</v>
      </c>
      <c r="L425" s="14">
        <f>+(Tabla1[[#This Row],[Tmax media (°C)]]-Tabla1[[#This Row],[Tmax media (°C) historica]])/Tabla1[[#This Row],[Tmax media (°C) historica]]*100</f>
        <v>-2.1428571428571481</v>
      </c>
      <c r="M425" s="14">
        <f>+(Tabla1[[#This Row],[Tmin media (°C)]]-Tabla1[[#This Row],[Tmin media (°C) historica]])/Tabla1[[#This Row],[Tmin media (°C) historica]]*100</f>
        <v>33.333333333333329</v>
      </c>
      <c r="N425" s="14">
        <f>+(Tabla1[[#This Row],[Tmedia media (°C)]]-Tabla1[[#This Row],[Tmedia media (°C) historica]])/Tabla1[[#This Row],[Tmedia media (°C) historica]]*100</f>
        <v>3.5928143712574938</v>
      </c>
      <c r="O425" s="13">
        <f>+(Tabla1[[#This Row],[Prec acum (mm)]]-Tabla1[[#This Row],[Prec acum (mm) historica]])/Tabla1[[#This Row],[Prec acum (mm) historica]]*100</f>
        <v>240</v>
      </c>
    </row>
    <row r="426" spans="1:15" hidden="1" x14ac:dyDescent="0.25">
      <c r="A426">
        <v>2015</v>
      </c>
      <c r="B426" t="s">
        <v>31</v>
      </c>
      <c r="C426" t="s">
        <v>21</v>
      </c>
      <c r="D426" s="7">
        <v>15.3</v>
      </c>
      <c r="E426" s="7">
        <v>3.7</v>
      </c>
      <c r="F426" s="7">
        <f>+AVERAGE(Tabla1[[#This Row],[Tmax media (°C) historica]:[Tmin media (°C) historica]])</f>
        <v>9.5</v>
      </c>
      <c r="G426" s="7">
        <v>22.8</v>
      </c>
      <c r="H426" s="12">
        <v>16.399999999999999</v>
      </c>
      <c r="I426" s="12">
        <v>4.8</v>
      </c>
      <c r="J426" s="7">
        <f t="shared" si="0"/>
        <v>10.6</v>
      </c>
      <c r="K426" s="12">
        <v>52.5</v>
      </c>
      <c r="L426" s="14">
        <f>+(Tabla1[[#This Row],[Tmax media (°C)]]-Tabla1[[#This Row],[Tmax media (°C) historica]])/Tabla1[[#This Row],[Tmax media (°C) historica]]*100</f>
        <v>7.1895424836601158</v>
      </c>
      <c r="M426" s="14">
        <f>+(Tabla1[[#This Row],[Tmin media (°C)]]-Tabla1[[#This Row],[Tmin media (°C) historica]])/Tabla1[[#This Row],[Tmin media (°C) historica]]*100</f>
        <v>29.729729729729719</v>
      </c>
      <c r="N426" s="14">
        <f>+(Tabla1[[#This Row],[Tmedia media (°C)]]-Tabla1[[#This Row],[Tmedia media (°C) historica]])/Tabla1[[#This Row],[Tmedia media (°C) historica]]*100</f>
        <v>11.578947368421048</v>
      </c>
      <c r="O426" s="13">
        <f>+(Tabla1[[#This Row],[Prec acum (mm)]]-Tabla1[[#This Row],[Prec acum (mm) historica]])/Tabla1[[#This Row],[Prec acum (mm) historica]]*100</f>
        <v>130.26315789473685</v>
      </c>
    </row>
    <row r="427" spans="1:15" hidden="1" x14ac:dyDescent="0.25">
      <c r="A427">
        <v>2023</v>
      </c>
      <c r="B427" t="s">
        <v>31</v>
      </c>
      <c r="C427" t="s">
        <v>21</v>
      </c>
      <c r="D427" s="7">
        <v>15.3</v>
      </c>
      <c r="E427" s="7">
        <v>3.7</v>
      </c>
      <c r="F427" s="7">
        <f>+AVERAGE(Tabla1[[#This Row],[Tmax media (°C) historica]:[Tmin media (°C) historica]])</f>
        <v>9.5</v>
      </c>
      <c r="G427" s="7">
        <v>22.8</v>
      </c>
      <c r="H427" s="12">
        <v>15.4</v>
      </c>
      <c r="I427" s="12">
        <v>4.0999999999999996</v>
      </c>
      <c r="J427" s="7">
        <f t="shared" si="0"/>
        <v>9.75</v>
      </c>
      <c r="K427" s="12">
        <v>36</v>
      </c>
      <c r="L427" s="14">
        <f>+(Tabla1[[#This Row],[Tmax media (°C)]]-Tabla1[[#This Row],[Tmax media (°C) historica]])/Tabla1[[#This Row],[Tmax media (°C) historica]]*100</f>
        <v>0.65359477124182774</v>
      </c>
      <c r="M427" s="14">
        <f>+(Tabla1[[#This Row],[Tmin media (°C)]]-Tabla1[[#This Row],[Tmin media (°C) historica]])/Tabla1[[#This Row],[Tmin media (°C) historica]]*100</f>
        <v>10.810810810810796</v>
      </c>
      <c r="N427" s="14">
        <f>+(Tabla1[[#This Row],[Tmedia media (°C)]]-Tabla1[[#This Row],[Tmedia media (°C) historica]])/Tabla1[[#This Row],[Tmedia media (°C) historica]]*100</f>
        <v>2.6315789473684208</v>
      </c>
      <c r="O427" s="13">
        <f>+(Tabla1[[#This Row],[Prec acum (mm)]]-Tabla1[[#This Row],[Prec acum (mm) historica]])/Tabla1[[#This Row],[Prec acum (mm) historica]]*100</f>
        <v>57.894736842105253</v>
      </c>
    </row>
    <row r="428" spans="1:15" hidden="1" x14ac:dyDescent="0.25">
      <c r="A428">
        <v>2015</v>
      </c>
      <c r="B428" t="s">
        <v>31</v>
      </c>
      <c r="C428" t="s">
        <v>26</v>
      </c>
      <c r="D428" s="7">
        <v>24.8</v>
      </c>
      <c r="E428" s="7">
        <v>9.8000000000000007</v>
      </c>
      <c r="F428" s="7">
        <f>+AVERAGE(Tabla1[[#This Row],[Tmax media (°C) historica]:[Tmin media (°C) historica]])</f>
        <v>17.3</v>
      </c>
      <c r="G428" s="7">
        <v>25.2</v>
      </c>
      <c r="H428" s="12">
        <v>25.4</v>
      </c>
      <c r="I428" s="12">
        <v>9.8000000000000007</v>
      </c>
      <c r="J428" s="7">
        <f t="shared" si="0"/>
        <v>17.600000000000001</v>
      </c>
      <c r="K428" s="12">
        <v>63.5</v>
      </c>
      <c r="L428" s="14">
        <f>+(Tabla1[[#This Row],[Tmax media (°C)]]-Tabla1[[#This Row],[Tmax media (°C) historica]])/Tabla1[[#This Row],[Tmax media (°C) historica]]*100</f>
        <v>2.4193548387096686</v>
      </c>
      <c r="M428" s="14">
        <f>+(Tabla1[[#This Row],[Tmin media (°C)]]-Tabla1[[#This Row],[Tmin media (°C) historica]])/Tabla1[[#This Row],[Tmin media (°C) historica]]*100</f>
        <v>0</v>
      </c>
      <c r="N428" s="14">
        <f>+(Tabla1[[#This Row],[Tmedia media (°C)]]-Tabla1[[#This Row],[Tmedia media (°C) historica]])/Tabla1[[#This Row],[Tmedia media (°C) historica]]*100</f>
        <v>1.7341040462427786</v>
      </c>
      <c r="O428" s="13">
        <f>+(Tabla1[[#This Row],[Prec acum (mm)]]-Tabla1[[#This Row],[Prec acum (mm) historica]])/Tabla1[[#This Row],[Prec acum (mm) historica]]*100</f>
        <v>151.98412698412699</v>
      </c>
    </row>
    <row r="429" spans="1:15" hidden="1" x14ac:dyDescent="0.25">
      <c r="A429">
        <v>2023</v>
      </c>
      <c r="B429" t="s">
        <v>31</v>
      </c>
      <c r="C429" t="s">
        <v>26</v>
      </c>
      <c r="D429" s="7">
        <v>24.8</v>
      </c>
      <c r="E429" s="7">
        <v>9.8000000000000007</v>
      </c>
      <c r="F429" s="7">
        <f>+AVERAGE(Tabla1[[#This Row],[Tmax media (°C) historica]:[Tmin media (°C) historica]])</f>
        <v>17.3</v>
      </c>
      <c r="G429" s="7">
        <v>25.2</v>
      </c>
      <c r="H429" s="12">
        <v>24.6</v>
      </c>
      <c r="I429" s="12">
        <v>7.4</v>
      </c>
      <c r="J429" s="7">
        <f t="shared" si="0"/>
        <v>16</v>
      </c>
      <c r="K429" s="12">
        <v>66</v>
      </c>
      <c r="L429" s="14">
        <f>+(Tabla1[[#This Row],[Tmax media (°C)]]-Tabla1[[#This Row],[Tmax media (°C) historica]])/Tabla1[[#This Row],[Tmax media (°C) historica]]*100</f>
        <v>-0.80645161290322287</v>
      </c>
      <c r="M429" s="14">
        <f>+(Tabla1[[#This Row],[Tmin media (°C)]]-Tabla1[[#This Row],[Tmin media (°C) historica]])/Tabla1[[#This Row],[Tmin media (°C) historica]]*100</f>
        <v>-24.489795918367349</v>
      </c>
      <c r="N429" s="14">
        <f>+(Tabla1[[#This Row],[Tmedia media (°C)]]-Tabla1[[#This Row],[Tmedia media (°C) historica]])/Tabla1[[#This Row],[Tmedia media (°C) historica]]*100</f>
        <v>-7.5144508670520267</v>
      </c>
      <c r="O429" s="13">
        <f>+(Tabla1[[#This Row],[Prec acum (mm)]]-Tabla1[[#This Row],[Prec acum (mm) historica]])/Tabla1[[#This Row],[Prec acum (mm) historica]]*100</f>
        <v>161.9047619047619</v>
      </c>
    </row>
    <row r="430" spans="1:15" hidden="1" x14ac:dyDescent="0.25">
      <c r="A430">
        <v>2015</v>
      </c>
      <c r="B430" t="s">
        <v>31</v>
      </c>
      <c r="C430" t="s">
        <v>25</v>
      </c>
      <c r="D430" s="7">
        <v>20.7</v>
      </c>
      <c r="E430" s="7">
        <v>7</v>
      </c>
      <c r="F430" s="7">
        <f>+AVERAGE(Tabla1[[#This Row],[Tmax media (°C) historica]:[Tmin media (°C) historica]])</f>
        <v>13.85</v>
      </c>
      <c r="G430" s="7">
        <v>51.7</v>
      </c>
      <c r="H430" s="12">
        <v>17.899999999999999</v>
      </c>
      <c r="I430" s="12">
        <v>6</v>
      </c>
      <c r="J430" s="7">
        <f t="shared" si="0"/>
        <v>11.95</v>
      </c>
      <c r="K430" s="12">
        <v>74.5</v>
      </c>
      <c r="L430" s="14">
        <f>+(Tabla1[[#This Row],[Tmax media (°C)]]-Tabla1[[#This Row],[Tmax media (°C) historica]])/Tabla1[[#This Row],[Tmax media (°C) historica]]*100</f>
        <v>-13.526570048309184</v>
      </c>
      <c r="M430" s="14">
        <f>+(Tabla1[[#This Row],[Tmin media (°C)]]-Tabla1[[#This Row],[Tmin media (°C) historica]])/Tabla1[[#This Row],[Tmin media (°C) historica]]*100</f>
        <v>-14.285714285714285</v>
      </c>
      <c r="N430" s="14">
        <f>+(Tabla1[[#This Row],[Tmedia media (°C)]]-Tabla1[[#This Row],[Tmedia media (°C) historica]])/Tabla1[[#This Row],[Tmedia media (°C) historica]]*100</f>
        <v>-13.718411552346574</v>
      </c>
      <c r="O430" s="13">
        <f>+(Tabla1[[#This Row],[Prec acum (mm)]]-Tabla1[[#This Row],[Prec acum (mm) historica]])/Tabla1[[#This Row],[Prec acum (mm) historica]]*100</f>
        <v>44.100580270793024</v>
      </c>
    </row>
    <row r="431" spans="1:15" hidden="1" x14ac:dyDescent="0.25">
      <c r="A431">
        <v>2023</v>
      </c>
      <c r="B431" t="s">
        <v>31</v>
      </c>
      <c r="C431" t="s">
        <v>25</v>
      </c>
      <c r="D431" s="7">
        <v>20.7</v>
      </c>
      <c r="E431" s="7">
        <v>7</v>
      </c>
      <c r="F431" s="7">
        <f>+AVERAGE(Tabla1[[#This Row],[Tmax media (°C) historica]:[Tmin media (°C) historica]])</f>
        <v>13.85</v>
      </c>
      <c r="G431" s="7">
        <v>51.7</v>
      </c>
      <c r="H431" s="12">
        <v>20.6</v>
      </c>
      <c r="I431" s="12">
        <v>5.6</v>
      </c>
      <c r="J431" s="7">
        <f t="shared" si="0"/>
        <v>13.100000000000001</v>
      </c>
      <c r="K431" s="12">
        <v>32</v>
      </c>
      <c r="L431" s="14">
        <f>+(Tabla1[[#This Row],[Tmax media (°C)]]-Tabla1[[#This Row],[Tmax media (°C) historica]])/Tabla1[[#This Row],[Tmax media (°C) historica]]*100</f>
        <v>-0.48309178743960329</v>
      </c>
      <c r="M431" s="14">
        <f>+(Tabla1[[#This Row],[Tmin media (°C)]]-Tabla1[[#This Row],[Tmin media (°C) historica]])/Tabla1[[#This Row],[Tmin media (°C) historica]]*100</f>
        <v>-20.000000000000004</v>
      </c>
      <c r="N431" s="14">
        <f>+(Tabla1[[#This Row],[Tmedia media (°C)]]-Tabla1[[#This Row],[Tmedia media (°C) historica]])/Tabla1[[#This Row],[Tmedia media (°C) historica]]*100</f>
        <v>-5.4151624548736335</v>
      </c>
      <c r="O431" s="13">
        <f>+(Tabla1[[#This Row],[Prec acum (mm)]]-Tabla1[[#This Row],[Prec acum (mm) historica]])/Tabla1[[#This Row],[Prec acum (mm) historica]]*100</f>
        <v>-38.104448742746619</v>
      </c>
    </row>
    <row r="432" spans="1:15" hidden="1" x14ac:dyDescent="0.25">
      <c r="A432">
        <v>2015</v>
      </c>
      <c r="B432" t="s">
        <v>31</v>
      </c>
      <c r="C432" t="s">
        <v>24</v>
      </c>
      <c r="D432" s="7">
        <v>18</v>
      </c>
      <c r="E432" s="7">
        <v>4.7</v>
      </c>
      <c r="F432" s="7">
        <f>+AVERAGE(Tabla1[[#This Row],[Tmax media (°C) historica]:[Tmin media (°C) historica]])</f>
        <v>11.35</v>
      </c>
      <c r="G432" s="7">
        <v>39.700000000000003</v>
      </c>
      <c r="H432" s="12">
        <v>18.100000000000001</v>
      </c>
      <c r="I432" s="12">
        <v>3.6</v>
      </c>
      <c r="J432" s="7">
        <f t="shared" si="0"/>
        <v>10.850000000000001</v>
      </c>
      <c r="K432" s="12">
        <v>26</v>
      </c>
      <c r="L432" s="14">
        <f>+(Tabla1[[#This Row],[Tmax media (°C)]]-Tabla1[[#This Row],[Tmax media (°C) historica]])/Tabla1[[#This Row],[Tmax media (°C) historica]]*100</f>
        <v>0.55555555555556346</v>
      </c>
      <c r="M432" s="14">
        <f>+(Tabla1[[#This Row],[Tmin media (°C)]]-Tabla1[[#This Row],[Tmin media (°C) historica]])/Tabla1[[#This Row],[Tmin media (°C) historica]]*100</f>
        <v>-23.404255319148938</v>
      </c>
      <c r="N432" s="14">
        <f>+(Tabla1[[#This Row],[Tmedia media (°C)]]-Tabla1[[#This Row],[Tmedia media (°C) historica]])/Tabla1[[#This Row],[Tmedia media (°C) historica]]*100</f>
        <v>-4.4052863436123193</v>
      </c>
      <c r="O432" s="13">
        <f>+(Tabla1[[#This Row],[Prec acum (mm)]]-Tabla1[[#This Row],[Prec acum (mm) historica]])/Tabla1[[#This Row],[Prec acum (mm) historica]]*100</f>
        <v>-34.508816120906808</v>
      </c>
    </row>
    <row r="433" spans="1:15" hidden="1" x14ac:dyDescent="0.25">
      <c r="A433">
        <v>2023</v>
      </c>
      <c r="B433" t="s">
        <v>31</v>
      </c>
      <c r="C433" t="s">
        <v>24</v>
      </c>
      <c r="D433" s="7">
        <v>18</v>
      </c>
      <c r="E433" s="7">
        <v>4.7</v>
      </c>
      <c r="F433" s="7">
        <f>+AVERAGE(Tabla1[[#This Row],[Tmax media (°C) historica]:[Tmin media (°C) historica]])</f>
        <v>11.35</v>
      </c>
      <c r="G433" s="7">
        <v>39.700000000000003</v>
      </c>
      <c r="H433" s="12">
        <v>16.100000000000001</v>
      </c>
      <c r="I433" s="12">
        <v>4.2</v>
      </c>
      <c r="J433" s="7">
        <f t="shared" si="0"/>
        <v>10.15</v>
      </c>
      <c r="K433" s="12">
        <v>34.5</v>
      </c>
      <c r="L433" s="14">
        <f>+(Tabla1[[#This Row],[Tmax media (°C)]]-Tabla1[[#This Row],[Tmax media (°C) historica]])/Tabla1[[#This Row],[Tmax media (°C) historica]]*100</f>
        <v>-10.555555555555546</v>
      </c>
      <c r="M433" s="14">
        <f>+(Tabla1[[#This Row],[Tmin media (°C)]]-Tabla1[[#This Row],[Tmin media (°C) historica]])/Tabla1[[#This Row],[Tmin media (°C) historica]]*100</f>
        <v>-10.638297872340425</v>
      </c>
      <c r="N433" s="14">
        <f>+(Tabla1[[#This Row],[Tmedia media (°C)]]-Tabla1[[#This Row],[Tmedia media (°C) historica]])/Tabla1[[#This Row],[Tmedia media (°C) historica]]*100</f>
        <v>-10.572687224669599</v>
      </c>
      <c r="O433" s="13">
        <f>+(Tabla1[[#This Row],[Prec acum (mm)]]-Tabla1[[#This Row],[Prec acum (mm) historica]])/Tabla1[[#This Row],[Prec acum (mm) historica]]*100</f>
        <v>-13.098236775818645</v>
      </c>
    </row>
    <row r="436" spans="1:15" x14ac:dyDescent="0.25">
      <c r="L436">
        <f>+(K12-G12)/G12*100</f>
        <v>530</v>
      </c>
    </row>
  </sheetData>
  <phoneticPr fontId="3" type="noConversion"/>
  <pageMargins left="0.7" right="0.7" top="0.75" bottom="0.75" header="0.3" footer="0.3"/>
  <ignoredErrors>
    <ignoredError sqref="J398:J409 J410:J415 J416:J422 J428:J433 J424:J427" formulaRange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Andresa Lewczuk</dc:creator>
  <cp:lastModifiedBy>Nuria Andresa Lewczuk</cp:lastModifiedBy>
  <dcterms:created xsi:type="dcterms:W3CDTF">2026-06-29T16:41:34Z</dcterms:created>
  <dcterms:modified xsi:type="dcterms:W3CDTF">2026-09-07T18:20:08Z</dcterms:modified>
</cp:coreProperties>
</file>