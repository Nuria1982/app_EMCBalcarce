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aarg-my.sharepoint.com/personal/lewczuk_nuria_inta_gob_ar/Documents/shiny_app/app_EMCBalcarce/"/>
    </mc:Choice>
  </mc:AlternateContent>
  <xr:revisionPtr revIDLastSave="128" documentId="8_{1D1142EF-E1A7-45C0-A05D-C3B1248675DA}" xr6:coauthVersionLast="47" xr6:coauthVersionMax="47" xr10:uidLastSave="{4EB3658E-2116-47C1-80BD-B636DFB5A1FB}"/>
  <bookViews>
    <workbookView xWindow="-20610" yWindow="4575" windowWidth="20730" windowHeight="11040" xr2:uid="{8120B771-92F1-4794-9EFD-C5F0B4C602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48" i="1" l="1"/>
  <c r="N147" i="1"/>
  <c r="N146" i="1"/>
  <c r="N145" i="1"/>
  <c r="N144" i="1"/>
  <c r="N143" i="1"/>
  <c r="N142" i="1"/>
  <c r="N141" i="1"/>
  <c r="N140" i="1"/>
  <c r="N139" i="1"/>
  <c r="N138" i="1"/>
  <c r="N137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L2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87" i="1"/>
  <c r="M87" i="1"/>
  <c r="N87" i="1"/>
  <c r="O87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3" i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M2" i="1"/>
  <c r="N2" i="1"/>
  <c r="O2" i="1"/>
</calcChain>
</file>

<file path=xl/sharedStrings.xml><?xml version="1.0" encoding="utf-8"?>
<sst xmlns="http://schemas.openxmlformats.org/spreadsheetml/2006/main" count="313" uniqueCount="26">
  <si>
    <t>Localidad</t>
  </si>
  <si>
    <t>Año</t>
  </si>
  <si>
    <t>Trimestre</t>
  </si>
  <si>
    <t>JJA</t>
  </si>
  <si>
    <t>Balcarce</t>
  </si>
  <si>
    <t>Tmax media (°C)</t>
  </si>
  <si>
    <t>Tmin media (°C)</t>
  </si>
  <si>
    <t>Tmedia media (°C)</t>
  </si>
  <si>
    <t>Prec acum (mm)</t>
  </si>
  <si>
    <t>Tmax media (°C) historica</t>
  </si>
  <si>
    <t>Tmin media (°C) historica</t>
  </si>
  <si>
    <t>Tmedia media (°C) historica</t>
  </si>
  <si>
    <t>Prec acum (mm) historica</t>
  </si>
  <si>
    <t>Tmax % cambio</t>
  </si>
  <si>
    <t>Tmin % cambio</t>
  </si>
  <si>
    <t>Tmedia % cambio</t>
  </si>
  <si>
    <t>Prec % cambio</t>
  </si>
  <si>
    <t>SON</t>
  </si>
  <si>
    <t>DEF</t>
  </si>
  <si>
    <t>Mar del Plata</t>
  </si>
  <si>
    <t>Tandil</t>
  </si>
  <si>
    <t>SD</t>
  </si>
  <si>
    <t>Olavarría</t>
  </si>
  <si>
    <t>Azul</t>
  </si>
  <si>
    <t>Necochea</t>
  </si>
  <si>
    <t>Miramar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</si>
</sst>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  <font>
      <b/>
      <sz val="9"/>
      <color rgb="FF000000"/>
      <name val="Arial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52F3-4462-4A06-9EC7-8F74EFD1358E}">
  <dimension ref="A1:O148"/>
  <sheetViews>
    <sheetView tabSelected="1" workbookViewId="0">
      <selection activeCell="I11" sqref="I11"/>
    </sheetView>
  </sheetViews>
  <sheetFormatPr baseColWidth="10" defaultRowHeight="15" x14ac:dyDescent="0.25"/>
  <sheetData>
    <row r="1" spans="1:15" ht="36" x14ac:dyDescent="0.25">
      <c r="A1" t="s">
        <v>1</v>
      </c>
      <c r="B1" t="s">
        <v>0</v>
      </c>
      <c r="C1" t="s">
        <v>2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13</v>
      </c>
      <c r="M1" s="4" t="s">
        <v>14</v>
      </c>
      <c r="N1" s="4" t="s">
        <v>15</v>
      </c>
      <c r="O1" s="5" t="s">
        <v>16</v>
      </c>
    </row>
    <row r="2" spans="1:15" x14ac:dyDescent="0.25">
      <c r="A2">
        <v>1972</v>
      </c>
      <c r="B2" t="s">
        <v>4</v>
      </c>
      <c r="C2" t="s">
        <v>3</v>
      </c>
      <c r="D2" s="1">
        <v>13</v>
      </c>
      <c r="E2" s="1">
        <v>3.5</v>
      </c>
      <c r="F2" s="1">
        <v>8.1999999999999993</v>
      </c>
      <c r="G2" s="1">
        <v>157</v>
      </c>
      <c r="H2" s="2">
        <v>12.5</v>
      </c>
      <c r="I2" s="2">
        <v>3.9</v>
      </c>
      <c r="J2" s="2">
        <v>8.1999999999999993</v>
      </c>
      <c r="K2" s="2">
        <v>185</v>
      </c>
      <c r="L2" s="9">
        <f>+(H2-D2)/D2*100</f>
        <v>-3.8461538461538463</v>
      </c>
      <c r="M2" s="9">
        <f t="shared" ref="M2:O2" si="0">+(I2-E2)/E2*100</f>
        <v>11.428571428571425</v>
      </c>
      <c r="N2" s="9">
        <f t="shared" si="0"/>
        <v>0</v>
      </c>
      <c r="O2" s="9">
        <f t="shared" si="0"/>
        <v>17.834394904458598</v>
      </c>
    </row>
    <row r="3" spans="1:15" x14ac:dyDescent="0.25">
      <c r="A3">
        <v>1982</v>
      </c>
      <c r="B3" t="s">
        <v>4</v>
      </c>
      <c r="C3" t="s">
        <v>3</v>
      </c>
      <c r="D3" s="1">
        <v>13</v>
      </c>
      <c r="E3" s="1">
        <v>3.5</v>
      </c>
      <c r="F3" s="1">
        <v>8.1999999999999993</v>
      </c>
      <c r="G3" s="1">
        <v>157</v>
      </c>
      <c r="H3" s="3">
        <v>12</v>
      </c>
      <c r="I3" s="3">
        <v>3</v>
      </c>
      <c r="J3" s="3">
        <v>7.5</v>
      </c>
      <c r="K3" s="3">
        <v>189</v>
      </c>
      <c r="L3" s="9">
        <f t="shared" ref="L3:L15" si="1">+(H3-D3)/D3*100</f>
        <v>-7.6923076923076925</v>
      </c>
      <c r="M3" s="9">
        <f t="shared" ref="M3:M15" si="2">+(I3-E3)/E3*100</f>
        <v>-14.285714285714285</v>
      </c>
      <c r="N3" s="9">
        <f t="shared" ref="N3:N15" si="3">+(J3-F3)/F3*100</f>
        <v>-8.5365853658536501</v>
      </c>
      <c r="O3" s="9">
        <f t="shared" ref="O3:O15" si="4">+(K3-G3)/G3*100</f>
        <v>20.382165605095544</v>
      </c>
    </row>
    <row r="4" spans="1:15" x14ac:dyDescent="0.25">
      <c r="A4">
        <v>1987</v>
      </c>
      <c r="B4" t="s">
        <v>4</v>
      </c>
      <c r="C4" t="s">
        <v>3</v>
      </c>
      <c r="D4" s="1">
        <v>13</v>
      </c>
      <c r="E4" s="1">
        <v>3.5</v>
      </c>
      <c r="F4" s="1">
        <v>8.1999999999999993</v>
      </c>
      <c r="G4" s="1">
        <v>157</v>
      </c>
      <c r="H4" s="2">
        <v>13.6</v>
      </c>
      <c r="I4" s="2">
        <v>4.0999999999999996</v>
      </c>
      <c r="J4" s="2">
        <v>8.8000000000000007</v>
      </c>
      <c r="K4" s="2">
        <v>167</v>
      </c>
      <c r="L4" s="9">
        <f t="shared" si="1"/>
        <v>4.6153846153846132</v>
      </c>
      <c r="M4" s="9">
        <f t="shared" si="2"/>
        <v>17.142857142857132</v>
      </c>
      <c r="N4" s="9">
        <f t="shared" si="3"/>
        <v>7.3170731707317245</v>
      </c>
      <c r="O4" s="9">
        <f t="shared" si="4"/>
        <v>6.369426751592357</v>
      </c>
    </row>
    <row r="5" spans="1:15" x14ac:dyDescent="0.25">
      <c r="A5">
        <v>1991</v>
      </c>
      <c r="B5" t="s">
        <v>4</v>
      </c>
      <c r="C5" t="s">
        <v>3</v>
      </c>
      <c r="D5" s="1">
        <v>13.4</v>
      </c>
      <c r="E5" s="1">
        <v>4.0999999999999996</v>
      </c>
      <c r="F5" s="1">
        <v>8.6</v>
      </c>
      <c r="G5" s="1">
        <v>172</v>
      </c>
      <c r="H5" s="3">
        <v>12.5</v>
      </c>
      <c r="I5" s="3">
        <v>3.9</v>
      </c>
      <c r="J5" s="3">
        <v>8.1999999999999993</v>
      </c>
      <c r="K5" s="3">
        <v>227</v>
      </c>
      <c r="L5" s="9">
        <f t="shared" si="1"/>
        <v>-6.7164179104477642</v>
      </c>
      <c r="M5" s="9">
        <f t="shared" si="2"/>
        <v>-4.8780487804877986</v>
      </c>
      <c r="N5" s="9">
        <f t="shared" si="3"/>
        <v>-4.6511627906976782</v>
      </c>
      <c r="O5" s="9">
        <f t="shared" si="4"/>
        <v>31.976744186046513</v>
      </c>
    </row>
    <row r="6" spans="1:15" x14ac:dyDescent="0.25">
      <c r="A6">
        <v>1994</v>
      </c>
      <c r="B6" t="s">
        <v>4</v>
      </c>
      <c r="C6" t="s">
        <v>3</v>
      </c>
      <c r="D6" s="1">
        <v>13.4</v>
      </c>
      <c r="E6" s="1">
        <v>4.0999999999999996</v>
      </c>
      <c r="F6" s="1">
        <v>8.6</v>
      </c>
      <c r="G6" s="1">
        <v>172</v>
      </c>
      <c r="H6" s="2">
        <v>13</v>
      </c>
      <c r="I6" s="2">
        <v>4.0999999999999996</v>
      </c>
      <c r="J6" s="2">
        <v>8.5</v>
      </c>
      <c r="K6" s="2">
        <v>128</v>
      </c>
      <c r="L6" s="9">
        <f t="shared" si="1"/>
        <v>-2.9850746268656745</v>
      </c>
      <c r="M6" s="9">
        <f t="shared" si="2"/>
        <v>0</v>
      </c>
      <c r="N6" s="9">
        <f t="shared" si="3"/>
        <v>-1.1627906976744147</v>
      </c>
      <c r="O6" s="9">
        <f t="shared" si="4"/>
        <v>-25.581395348837212</v>
      </c>
    </row>
    <row r="7" spans="1:15" x14ac:dyDescent="0.25">
      <c r="A7">
        <v>1997</v>
      </c>
      <c r="B7" t="s">
        <v>4</v>
      </c>
      <c r="C7" t="s">
        <v>3</v>
      </c>
      <c r="D7" s="1">
        <v>13.4</v>
      </c>
      <c r="E7" s="1">
        <v>4.0999999999999996</v>
      </c>
      <c r="F7" s="1">
        <v>8.6</v>
      </c>
      <c r="G7" s="1">
        <v>172</v>
      </c>
      <c r="H7" s="3">
        <v>13.8</v>
      </c>
      <c r="I7" s="3">
        <v>5.4</v>
      </c>
      <c r="J7" s="3">
        <v>9.6</v>
      </c>
      <c r="K7" s="3">
        <v>203</v>
      </c>
      <c r="L7" s="9">
        <f t="shared" si="1"/>
        <v>2.9850746268656745</v>
      </c>
      <c r="M7" s="9">
        <f t="shared" si="2"/>
        <v>31.707317073170753</v>
      </c>
      <c r="N7" s="9">
        <f t="shared" si="3"/>
        <v>11.627906976744185</v>
      </c>
      <c r="O7" s="9">
        <f t="shared" si="4"/>
        <v>18.023255813953487</v>
      </c>
    </row>
    <row r="8" spans="1:15" x14ac:dyDescent="0.25">
      <c r="A8">
        <v>2002</v>
      </c>
      <c r="B8" t="s">
        <v>4</v>
      </c>
      <c r="C8" t="s">
        <v>3</v>
      </c>
      <c r="D8" s="1">
        <v>13.4</v>
      </c>
      <c r="E8" s="1">
        <v>4.0999999999999996</v>
      </c>
      <c r="F8" s="1">
        <v>8.6</v>
      </c>
      <c r="G8" s="1">
        <v>172</v>
      </c>
      <c r="H8" s="2">
        <v>12.7</v>
      </c>
      <c r="I8" s="2">
        <v>3.8</v>
      </c>
      <c r="J8" s="2">
        <v>8.1999999999999993</v>
      </c>
      <c r="K8" s="2">
        <v>163</v>
      </c>
      <c r="L8" s="9">
        <f t="shared" si="1"/>
        <v>-5.2238805970149338</v>
      </c>
      <c r="M8" s="9">
        <f t="shared" si="2"/>
        <v>-7.317073170731704</v>
      </c>
      <c r="N8" s="9">
        <f t="shared" si="3"/>
        <v>-4.6511627906976782</v>
      </c>
      <c r="O8" s="9">
        <f t="shared" si="4"/>
        <v>-5.2325581395348841</v>
      </c>
    </row>
    <row r="9" spans="1:15" x14ac:dyDescent="0.25">
      <c r="A9">
        <v>2004</v>
      </c>
      <c r="B9" t="s">
        <v>4</v>
      </c>
      <c r="C9" t="s">
        <v>3</v>
      </c>
      <c r="D9" s="1">
        <v>13.4</v>
      </c>
      <c r="E9" s="1">
        <v>4.0999999999999996</v>
      </c>
      <c r="F9" s="1">
        <v>8.6</v>
      </c>
      <c r="G9" s="1">
        <v>172</v>
      </c>
      <c r="H9" s="3">
        <v>13.7</v>
      </c>
      <c r="I9" s="3">
        <v>4.5999999999999996</v>
      </c>
      <c r="J9" s="3">
        <v>9.1999999999999993</v>
      </c>
      <c r="K9" s="3">
        <v>237</v>
      </c>
      <c r="L9" s="9">
        <f t="shared" si="1"/>
        <v>2.2388059701492455</v>
      </c>
      <c r="M9" s="9">
        <f t="shared" si="2"/>
        <v>12.195121951219514</v>
      </c>
      <c r="N9" s="9">
        <f t="shared" si="3"/>
        <v>6.9767441860465071</v>
      </c>
      <c r="O9" s="9">
        <f t="shared" si="4"/>
        <v>37.790697674418603</v>
      </c>
    </row>
    <row r="10" spans="1:15" x14ac:dyDescent="0.25">
      <c r="A10">
        <v>2015</v>
      </c>
      <c r="B10" t="s">
        <v>4</v>
      </c>
      <c r="C10" t="s">
        <v>3</v>
      </c>
      <c r="D10" s="1">
        <v>13.4</v>
      </c>
      <c r="E10" s="1">
        <v>4.0999999999999996</v>
      </c>
      <c r="F10" s="1">
        <v>8.6</v>
      </c>
      <c r="G10" s="1">
        <v>172</v>
      </c>
      <c r="H10" s="2">
        <v>15.7</v>
      </c>
      <c r="I10" s="2">
        <v>5.0999999999999996</v>
      </c>
      <c r="J10" s="2">
        <v>10.4</v>
      </c>
      <c r="K10" s="2">
        <v>263</v>
      </c>
      <c r="L10" s="9">
        <f t="shared" si="1"/>
        <v>17.164179104477604</v>
      </c>
      <c r="M10" s="9">
        <f t="shared" si="2"/>
        <v>24.390243902439028</v>
      </c>
      <c r="N10" s="9">
        <f t="shared" si="3"/>
        <v>20.930232558139544</v>
      </c>
      <c r="O10" s="9">
        <f t="shared" si="4"/>
        <v>52.906976744186053</v>
      </c>
    </row>
    <row r="11" spans="1:15" x14ac:dyDescent="0.25">
      <c r="A11">
        <v>2023</v>
      </c>
      <c r="B11" t="s">
        <v>4</v>
      </c>
      <c r="C11" t="s">
        <v>3</v>
      </c>
      <c r="D11" s="1">
        <v>13.4</v>
      </c>
      <c r="E11" s="1">
        <v>4.0999999999999996</v>
      </c>
      <c r="F11" s="1">
        <v>8.6</v>
      </c>
      <c r="G11" s="1">
        <v>172</v>
      </c>
      <c r="H11" s="3">
        <v>13.6</v>
      </c>
      <c r="I11" s="3">
        <v>4.5</v>
      </c>
      <c r="J11" s="3">
        <v>9</v>
      </c>
      <c r="K11" s="3">
        <v>229</v>
      </c>
      <c r="L11" s="9">
        <f t="shared" si="1"/>
        <v>1.4925373134328304</v>
      </c>
      <c r="M11" s="9">
        <f t="shared" si="2"/>
        <v>9.7560975609756202</v>
      </c>
      <c r="N11" s="9">
        <f t="shared" si="3"/>
        <v>4.6511627906976782</v>
      </c>
      <c r="O11" s="9">
        <f t="shared" si="4"/>
        <v>33.139534883720927</v>
      </c>
    </row>
    <row r="12" spans="1:15" x14ac:dyDescent="0.25">
      <c r="A12">
        <v>1972</v>
      </c>
      <c r="B12" t="s">
        <v>4</v>
      </c>
      <c r="C12" t="s">
        <v>17</v>
      </c>
      <c r="D12" s="1">
        <v>19.100000000000001</v>
      </c>
      <c r="E12" s="1">
        <v>7.2</v>
      </c>
      <c r="F12" s="1">
        <v>13.2</v>
      </c>
      <c r="G12" s="1">
        <v>229</v>
      </c>
      <c r="H12" s="2">
        <v>17.899999999999999</v>
      </c>
      <c r="I12" s="2">
        <v>6.8</v>
      </c>
      <c r="J12" s="2">
        <v>12.4</v>
      </c>
      <c r="K12" s="2">
        <v>278</v>
      </c>
      <c r="L12" s="9">
        <f t="shared" si="1"/>
        <v>-6.2827225130890199</v>
      </c>
      <c r="M12" s="9">
        <f t="shared" si="2"/>
        <v>-5.5555555555555598</v>
      </c>
      <c r="N12" s="9">
        <f t="shared" si="3"/>
        <v>-6.0606060606060534</v>
      </c>
      <c r="O12" s="9">
        <f t="shared" si="4"/>
        <v>21.397379912663755</v>
      </c>
    </row>
    <row r="13" spans="1:15" x14ac:dyDescent="0.25">
      <c r="A13">
        <v>1982</v>
      </c>
      <c r="B13" t="s">
        <v>4</v>
      </c>
      <c r="C13" t="s">
        <v>17</v>
      </c>
      <c r="D13" s="1">
        <v>19.100000000000001</v>
      </c>
      <c r="E13" s="1">
        <v>7.2</v>
      </c>
      <c r="F13" s="1">
        <v>13.2</v>
      </c>
      <c r="G13" s="1">
        <v>229</v>
      </c>
      <c r="H13" s="3">
        <v>18.5</v>
      </c>
      <c r="I13" s="3">
        <v>6.8</v>
      </c>
      <c r="J13" s="3">
        <v>12.6</v>
      </c>
      <c r="K13" s="3">
        <v>288</v>
      </c>
      <c r="L13" s="9">
        <f t="shared" si="1"/>
        <v>-3.1413612565445099</v>
      </c>
      <c r="M13" s="9">
        <f t="shared" si="2"/>
        <v>-5.5555555555555598</v>
      </c>
      <c r="N13" s="9">
        <f t="shared" si="3"/>
        <v>-4.5454545454545432</v>
      </c>
      <c r="O13" s="9">
        <f t="shared" si="4"/>
        <v>25.76419213973799</v>
      </c>
    </row>
    <row r="14" spans="1:15" x14ac:dyDescent="0.25">
      <c r="A14">
        <v>1987</v>
      </c>
      <c r="B14" t="s">
        <v>4</v>
      </c>
      <c r="C14" t="s">
        <v>17</v>
      </c>
      <c r="D14" s="1">
        <v>19.100000000000001</v>
      </c>
      <c r="E14" s="1">
        <v>7.2</v>
      </c>
      <c r="F14" s="1">
        <v>13.2</v>
      </c>
      <c r="G14" s="1">
        <v>229</v>
      </c>
      <c r="H14" s="2">
        <v>18.600000000000001</v>
      </c>
      <c r="I14" s="2">
        <v>7.2</v>
      </c>
      <c r="J14" s="2">
        <v>12.9</v>
      </c>
      <c r="K14" s="2">
        <v>212</v>
      </c>
      <c r="L14" s="9">
        <f t="shared" si="1"/>
        <v>-2.6178010471204183</v>
      </c>
      <c r="M14" s="9">
        <f t="shared" si="2"/>
        <v>0</v>
      </c>
      <c r="N14" s="9">
        <f t="shared" si="3"/>
        <v>-2.2727272727272649</v>
      </c>
      <c r="O14" s="9">
        <f t="shared" si="4"/>
        <v>-7.4235807860262017</v>
      </c>
    </row>
    <row r="15" spans="1:15" x14ac:dyDescent="0.25">
      <c r="A15">
        <v>1991</v>
      </c>
      <c r="B15" t="s">
        <v>4</v>
      </c>
      <c r="C15" t="s">
        <v>17</v>
      </c>
      <c r="D15" s="1">
        <v>19.600000000000001</v>
      </c>
      <c r="E15" s="1">
        <v>7.8</v>
      </c>
      <c r="F15" s="1">
        <v>13.8</v>
      </c>
      <c r="G15" s="1">
        <v>216</v>
      </c>
      <c r="H15" s="3">
        <v>19</v>
      </c>
      <c r="I15" s="3">
        <v>8.1999999999999993</v>
      </c>
      <c r="J15" s="3">
        <v>13.6</v>
      </c>
      <c r="K15" s="3">
        <v>314</v>
      </c>
      <c r="L15" s="9">
        <f t="shared" si="1"/>
        <v>-3.0612244897959253</v>
      </c>
      <c r="M15" s="9">
        <f t="shared" si="2"/>
        <v>5.1282051282051215</v>
      </c>
      <c r="N15" s="9">
        <f t="shared" si="3"/>
        <v>-1.4492753623188481</v>
      </c>
      <c r="O15" s="9">
        <f t="shared" si="4"/>
        <v>45.370370370370374</v>
      </c>
    </row>
    <row r="16" spans="1:15" x14ac:dyDescent="0.25">
      <c r="A16">
        <v>1994</v>
      </c>
      <c r="B16" t="s">
        <v>4</v>
      </c>
      <c r="C16" t="s">
        <v>17</v>
      </c>
      <c r="D16" s="1">
        <v>19.600000000000001</v>
      </c>
      <c r="E16" s="1">
        <v>7.8</v>
      </c>
      <c r="F16" s="1">
        <v>13.8</v>
      </c>
      <c r="G16" s="1">
        <v>216</v>
      </c>
      <c r="H16" s="2">
        <v>19.399999999999999</v>
      </c>
      <c r="I16" s="2">
        <v>8.1999999999999993</v>
      </c>
      <c r="J16" s="2">
        <v>13.8</v>
      </c>
      <c r="K16" s="2">
        <v>208</v>
      </c>
      <c r="L16" s="9">
        <f t="shared" ref="L16:L79" si="5">+(H16-D16)/D16*100</f>
        <v>-1.0204081632653206</v>
      </c>
      <c r="M16" s="9">
        <f t="shared" ref="M16:M79" si="6">+(I16-E16)/E16*100</f>
        <v>5.1282051282051215</v>
      </c>
      <c r="N16" s="9">
        <f t="shared" ref="N16:N79" si="7">+(J16-F16)/F16*100</f>
        <v>0</v>
      </c>
      <c r="O16" s="9">
        <f t="shared" ref="O16:O79" si="8">+(K16-G16)/G16*100</f>
        <v>-3.7037037037037033</v>
      </c>
    </row>
    <row r="17" spans="1:15" x14ac:dyDescent="0.25">
      <c r="A17">
        <v>1997</v>
      </c>
      <c r="B17" t="s">
        <v>4</v>
      </c>
      <c r="C17" t="s">
        <v>17</v>
      </c>
      <c r="D17" s="1">
        <v>19.600000000000001</v>
      </c>
      <c r="E17" s="1">
        <v>7.8</v>
      </c>
      <c r="F17" s="1">
        <v>13.8</v>
      </c>
      <c r="G17" s="1">
        <v>216</v>
      </c>
      <c r="H17" s="3">
        <v>18.3</v>
      </c>
      <c r="I17" s="3">
        <v>7.5</v>
      </c>
      <c r="J17" s="3">
        <v>12.9</v>
      </c>
      <c r="K17" s="3">
        <v>242</v>
      </c>
      <c r="L17" s="9">
        <f t="shared" si="5"/>
        <v>-6.6326530612244934</v>
      </c>
      <c r="M17" s="9">
        <f t="shared" si="6"/>
        <v>-3.8461538461538445</v>
      </c>
      <c r="N17" s="9">
        <f t="shared" si="7"/>
        <v>-6.5217391304347849</v>
      </c>
      <c r="O17" s="9">
        <f t="shared" si="8"/>
        <v>12.037037037037036</v>
      </c>
    </row>
    <row r="18" spans="1:15" x14ac:dyDescent="0.25">
      <c r="A18">
        <v>2002</v>
      </c>
      <c r="B18" t="s">
        <v>4</v>
      </c>
      <c r="C18" t="s">
        <v>17</v>
      </c>
      <c r="D18" s="1">
        <v>19.600000000000001</v>
      </c>
      <c r="E18" s="1">
        <v>7.8</v>
      </c>
      <c r="F18" s="1">
        <v>13.8</v>
      </c>
      <c r="G18" s="1">
        <v>216</v>
      </c>
      <c r="H18" s="2">
        <v>19.3</v>
      </c>
      <c r="I18" s="2">
        <v>8.6</v>
      </c>
      <c r="J18" s="2">
        <v>13.9</v>
      </c>
      <c r="K18" s="2">
        <v>535</v>
      </c>
      <c r="L18" s="9">
        <f t="shared" si="5"/>
        <v>-1.5306122448979627</v>
      </c>
      <c r="M18" s="9">
        <f t="shared" si="6"/>
        <v>10.256410256410255</v>
      </c>
      <c r="N18" s="9">
        <f t="shared" si="7"/>
        <v>0.72463768115941773</v>
      </c>
      <c r="O18" s="9">
        <f t="shared" si="8"/>
        <v>147.68518518518519</v>
      </c>
    </row>
    <row r="19" spans="1:15" x14ac:dyDescent="0.25">
      <c r="A19">
        <v>2004</v>
      </c>
      <c r="B19" t="s">
        <v>4</v>
      </c>
      <c r="C19" t="s">
        <v>17</v>
      </c>
      <c r="D19" s="1">
        <v>19.600000000000001</v>
      </c>
      <c r="E19" s="1">
        <v>7.8</v>
      </c>
      <c r="F19" s="1">
        <v>13.8</v>
      </c>
      <c r="G19" s="1">
        <v>216</v>
      </c>
      <c r="H19" s="3">
        <v>19</v>
      </c>
      <c r="I19" s="3">
        <v>7.8</v>
      </c>
      <c r="J19" s="3">
        <v>13.4</v>
      </c>
      <c r="K19" s="3">
        <v>148</v>
      </c>
      <c r="L19" s="9">
        <f t="shared" si="5"/>
        <v>-3.0612244897959253</v>
      </c>
      <c r="M19" s="9">
        <f t="shared" si="6"/>
        <v>0</v>
      </c>
      <c r="N19" s="9">
        <f t="shared" si="7"/>
        <v>-2.8985507246376838</v>
      </c>
      <c r="O19" s="9">
        <f t="shared" si="8"/>
        <v>-31.481481481481481</v>
      </c>
    </row>
    <row r="20" spans="1:15" x14ac:dyDescent="0.25">
      <c r="A20">
        <v>2015</v>
      </c>
      <c r="B20" t="s">
        <v>4</v>
      </c>
      <c r="C20" t="s">
        <v>17</v>
      </c>
      <c r="D20" s="1">
        <v>19.600000000000001</v>
      </c>
      <c r="E20" s="1">
        <v>7.8</v>
      </c>
      <c r="F20" s="1">
        <v>13.8</v>
      </c>
      <c r="G20" s="1">
        <v>216</v>
      </c>
      <c r="H20" s="2">
        <v>20</v>
      </c>
      <c r="I20" s="2">
        <v>6.5</v>
      </c>
      <c r="J20" s="2">
        <v>13.3</v>
      </c>
      <c r="K20" s="2">
        <v>191</v>
      </c>
      <c r="L20" s="9">
        <f t="shared" si="5"/>
        <v>2.0408163265306047</v>
      </c>
      <c r="M20" s="9">
        <f t="shared" si="6"/>
        <v>-16.666666666666664</v>
      </c>
      <c r="N20" s="9">
        <f t="shared" si="7"/>
        <v>-3.6231884057971016</v>
      </c>
      <c r="O20" s="9">
        <f t="shared" si="8"/>
        <v>-11.574074074074074</v>
      </c>
    </row>
    <row r="21" spans="1:15" x14ac:dyDescent="0.25">
      <c r="A21">
        <v>2023</v>
      </c>
      <c r="B21" t="s">
        <v>4</v>
      </c>
      <c r="C21" t="s">
        <v>17</v>
      </c>
      <c r="D21" s="1">
        <v>19.600000000000001</v>
      </c>
      <c r="E21" s="1">
        <v>7.8</v>
      </c>
      <c r="F21" s="1">
        <v>13.8</v>
      </c>
      <c r="G21" s="1">
        <v>216</v>
      </c>
      <c r="H21" s="3">
        <v>20</v>
      </c>
      <c r="I21" s="3">
        <v>7.7</v>
      </c>
      <c r="J21" s="3">
        <v>13.9</v>
      </c>
      <c r="K21" s="3">
        <v>160</v>
      </c>
      <c r="L21" s="9">
        <f t="shared" si="5"/>
        <v>2.0408163265306047</v>
      </c>
      <c r="M21" s="9">
        <f t="shared" si="6"/>
        <v>-1.2820512820512775</v>
      </c>
      <c r="N21" s="9">
        <f t="shared" si="7"/>
        <v>0.72463768115941773</v>
      </c>
      <c r="O21" s="9">
        <f t="shared" si="8"/>
        <v>-25.925925925925924</v>
      </c>
    </row>
    <row r="22" spans="1:15" x14ac:dyDescent="0.25">
      <c r="A22">
        <v>1972</v>
      </c>
      <c r="B22" t="s">
        <v>4</v>
      </c>
      <c r="C22" t="s">
        <v>18</v>
      </c>
      <c r="D22" s="1">
        <v>26.3</v>
      </c>
      <c r="E22" s="1">
        <v>13</v>
      </c>
      <c r="F22" s="1">
        <v>19.899999999999999</v>
      </c>
      <c r="G22" s="1">
        <v>324</v>
      </c>
      <c r="H22" s="2">
        <v>26</v>
      </c>
      <c r="I22" s="2">
        <v>13.4</v>
      </c>
      <c r="J22" s="2">
        <v>19.7</v>
      </c>
      <c r="K22" s="2">
        <v>453</v>
      </c>
      <c r="L22" s="9">
        <f t="shared" si="5"/>
        <v>-1.1406844106463905</v>
      </c>
      <c r="M22" s="9">
        <f t="shared" si="6"/>
        <v>3.0769230769230793</v>
      </c>
      <c r="N22" s="9">
        <f t="shared" si="7"/>
        <v>-1.0050251256281373</v>
      </c>
      <c r="O22" s="9">
        <f t="shared" si="8"/>
        <v>39.814814814814817</v>
      </c>
    </row>
    <row r="23" spans="1:15" x14ac:dyDescent="0.25">
      <c r="A23">
        <v>1982</v>
      </c>
      <c r="B23" t="s">
        <v>4</v>
      </c>
      <c r="C23" t="s">
        <v>18</v>
      </c>
      <c r="D23" s="1">
        <v>26.3</v>
      </c>
      <c r="E23" s="1">
        <v>13</v>
      </c>
      <c r="F23" s="1">
        <v>19.899999999999999</v>
      </c>
      <c r="G23" s="1">
        <v>324</v>
      </c>
      <c r="H23" s="3">
        <v>26.9</v>
      </c>
      <c r="I23" s="3">
        <v>13.2</v>
      </c>
      <c r="J23" s="3">
        <v>20</v>
      </c>
      <c r="K23" s="3">
        <v>335</v>
      </c>
      <c r="L23" s="9">
        <f t="shared" si="5"/>
        <v>2.2813688212927676</v>
      </c>
      <c r="M23" s="9">
        <f t="shared" si="6"/>
        <v>1.538461538461533</v>
      </c>
      <c r="N23" s="9">
        <f t="shared" si="7"/>
        <v>0.50251256281407752</v>
      </c>
      <c r="O23" s="9">
        <f t="shared" si="8"/>
        <v>3.3950617283950617</v>
      </c>
    </row>
    <row r="24" spans="1:15" x14ac:dyDescent="0.25">
      <c r="A24">
        <v>1987</v>
      </c>
      <c r="B24" t="s">
        <v>4</v>
      </c>
      <c r="C24" t="s">
        <v>18</v>
      </c>
      <c r="D24" s="1">
        <v>26.3</v>
      </c>
      <c r="E24" s="1">
        <v>13</v>
      </c>
      <c r="F24" s="1">
        <v>19.899999999999999</v>
      </c>
      <c r="G24" s="1">
        <v>324</v>
      </c>
      <c r="H24" s="2">
        <v>25</v>
      </c>
      <c r="I24" s="2">
        <v>11.3</v>
      </c>
      <c r="J24" s="2">
        <v>18.2</v>
      </c>
      <c r="K24" s="2">
        <v>356</v>
      </c>
      <c r="L24" s="9">
        <f t="shared" si="5"/>
        <v>-4.9429657794676833</v>
      </c>
      <c r="M24" s="9">
        <f t="shared" si="6"/>
        <v>-13.076923076923071</v>
      </c>
      <c r="N24" s="9">
        <f t="shared" si="7"/>
        <v>-8.5427135678391934</v>
      </c>
      <c r="O24" s="9">
        <f t="shared" si="8"/>
        <v>9.8765432098765427</v>
      </c>
    </row>
    <row r="25" spans="1:15" x14ac:dyDescent="0.25">
      <c r="A25">
        <v>1991</v>
      </c>
      <c r="B25" t="s">
        <v>4</v>
      </c>
      <c r="C25" t="s">
        <v>18</v>
      </c>
      <c r="D25" s="1">
        <v>27.3</v>
      </c>
      <c r="E25" s="1">
        <v>13.9</v>
      </c>
      <c r="F25" s="1">
        <v>20.5</v>
      </c>
      <c r="G25" s="1">
        <v>260</v>
      </c>
      <c r="H25" s="3">
        <v>25.9</v>
      </c>
      <c r="I25" s="3">
        <v>14.2</v>
      </c>
      <c r="J25" s="3">
        <v>20</v>
      </c>
      <c r="K25" s="3">
        <v>396</v>
      </c>
      <c r="L25" s="9">
        <f t="shared" si="5"/>
        <v>-5.1282051282051357</v>
      </c>
      <c r="M25" s="9">
        <f t="shared" si="6"/>
        <v>2.1582733812949559</v>
      </c>
      <c r="N25" s="9">
        <f t="shared" si="7"/>
        <v>-2.4390243902439024</v>
      </c>
      <c r="O25" s="9">
        <f t="shared" si="8"/>
        <v>52.307692307692314</v>
      </c>
    </row>
    <row r="26" spans="1:15" x14ac:dyDescent="0.25">
      <c r="A26">
        <v>1994</v>
      </c>
      <c r="B26" t="s">
        <v>4</v>
      </c>
      <c r="C26" t="s">
        <v>18</v>
      </c>
      <c r="D26" s="1">
        <v>27.3</v>
      </c>
      <c r="E26" s="1">
        <v>13.9</v>
      </c>
      <c r="F26" s="1">
        <v>20.5</v>
      </c>
      <c r="G26" s="1">
        <v>260</v>
      </c>
      <c r="H26" s="2">
        <v>26</v>
      </c>
      <c r="I26" s="2">
        <v>13.9</v>
      </c>
      <c r="J26" s="2">
        <v>19.899999999999999</v>
      </c>
      <c r="K26" s="2">
        <v>327</v>
      </c>
      <c r="L26" s="9">
        <f t="shared" si="5"/>
        <v>-4.7619047619047645</v>
      </c>
      <c r="M26" s="9">
        <f t="shared" si="6"/>
        <v>0</v>
      </c>
      <c r="N26" s="9">
        <f t="shared" si="7"/>
        <v>-2.9268292682926895</v>
      </c>
      <c r="O26" s="9">
        <f t="shared" si="8"/>
        <v>25.769230769230766</v>
      </c>
    </row>
    <row r="27" spans="1:15" x14ac:dyDescent="0.25">
      <c r="A27">
        <v>1997</v>
      </c>
      <c r="B27" t="s">
        <v>4</v>
      </c>
      <c r="C27" t="s">
        <v>18</v>
      </c>
      <c r="D27" s="1">
        <v>27.3</v>
      </c>
      <c r="E27" s="1">
        <v>13.9</v>
      </c>
      <c r="F27" s="1">
        <v>20.5</v>
      </c>
      <c r="G27" s="1">
        <v>260</v>
      </c>
      <c r="H27" s="3">
        <v>24.3</v>
      </c>
      <c r="I27" s="3">
        <v>12.4</v>
      </c>
      <c r="J27" s="3">
        <v>18.3</v>
      </c>
      <c r="K27" s="3">
        <v>259</v>
      </c>
      <c r="L27" s="9">
        <f t="shared" si="5"/>
        <v>-10.989010989010989</v>
      </c>
      <c r="M27" s="9">
        <f t="shared" si="6"/>
        <v>-10.791366906474821</v>
      </c>
      <c r="N27" s="9">
        <f t="shared" si="7"/>
        <v>-10.731707317073168</v>
      </c>
      <c r="O27" s="9">
        <f t="shared" si="8"/>
        <v>-0.38461538461538464</v>
      </c>
    </row>
    <row r="28" spans="1:15" x14ac:dyDescent="0.25">
      <c r="A28">
        <v>2002</v>
      </c>
      <c r="B28" t="s">
        <v>4</v>
      </c>
      <c r="C28" t="s">
        <v>18</v>
      </c>
      <c r="D28" s="1">
        <v>27.3</v>
      </c>
      <c r="E28" s="1">
        <v>13.9</v>
      </c>
      <c r="F28" s="1">
        <v>20.5</v>
      </c>
      <c r="G28" s="1">
        <v>260</v>
      </c>
      <c r="H28" s="2">
        <v>27</v>
      </c>
      <c r="I28" s="2">
        <v>13.9</v>
      </c>
      <c r="J28" s="2">
        <v>20.5</v>
      </c>
      <c r="K28" s="2">
        <v>252</v>
      </c>
      <c r="L28" s="9">
        <f t="shared" si="5"/>
        <v>-1.0989010989011014</v>
      </c>
      <c r="M28" s="9">
        <f t="shared" si="6"/>
        <v>0</v>
      </c>
      <c r="N28" s="9">
        <f t="shared" si="7"/>
        <v>0</v>
      </c>
      <c r="O28" s="9">
        <f t="shared" si="8"/>
        <v>-3.0769230769230771</v>
      </c>
    </row>
    <row r="29" spans="1:15" x14ac:dyDescent="0.25">
      <c r="A29">
        <v>2004</v>
      </c>
      <c r="B29" t="s">
        <v>4</v>
      </c>
      <c r="C29" t="s">
        <v>18</v>
      </c>
      <c r="D29" s="1">
        <v>27.3</v>
      </c>
      <c r="E29" s="1">
        <v>13.9</v>
      </c>
      <c r="F29" s="1">
        <v>20.5</v>
      </c>
      <c r="G29" s="1">
        <v>260</v>
      </c>
      <c r="H29" s="3">
        <v>26.7</v>
      </c>
      <c r="I29" s="3">
        <v>14.3</v>
      </c>
      <c r="J29" s="3">
        <v>20.5</v>
      </c>
      <c r="K29" s="3">
        <v>177</v>
      </c>
      <c r="L29" s="9">
        <f t="shared" si="5"/>
        <v>-2.1978021978022029</v>
      </c>
      <c r="M29" s="9">
        <f t="shared" si="6"/>
        <v>2.8776978417266212</v>
      </c>
      <c r="N29" s="9">
        <f t="shared" si="7"/>
        <v>0</v>
      </c>
      <c r="O29" s="9">
        <f t="shared" si="8"/>
        <v>-31.92307692307692</v>
      </c>
    </row>
    <row r="30" spans="1:15" x14ac:dyDescent="0.25">
      <c r="A30">
        <v>2015</v>
      </c>
      <c r="B30" t="s">
        <v>4</v>
      </c>
      <c r="C30" t="s">
        <v>18</v>
      </c>
      <c r="D30" s="1">
        <v>27.3</v>
      </c>
      <c r="E30" s="1">
        <v>13.9</v>
      </c>
      <c r="F30" s="1">
        <v>20.5</v>
      </c>
      <c r="G30" s="1">
        <v>260</v>
      </c>
      <c r="H30" s="2">
        <v>29.7</v>
      </c>
      <c r="I30" s="2">
        <v>14.3</v>
      </c>
      <c r="J30" s="2">
        <v>22</v>
      </c>
      <c r="K30" s="2">
        <v>225</v>
      </c>
      <c r="L30" s="9">
        <f t="shared" si="5"/>
        <v>8.7912087912087866</v>
      </c>
      <c r="M30" s="9">
        <f t="shared" si="6"/>
        <v>2.8776978417266212</v>
      </c>
      <c r="N30" s="9">
        <f t="shared" si="7"/>
        <v>7.3170731707317067</v>
      </c>
      <c r="O30" s="9">
        <f t="shared" si="8"/>
        <v>-13.461538461538462</v>
      </c>
    </row>
    <row r="31" spans="1:15" x14ac:dyDescent="0.25">
      <c r="A31">
        <v>2023</v>
      </c>
      <c r="B31" t="s">
        <v>4</v>
      </c>
      <c r="C31" t="s">
        <v>18</v>
      </c>
      <c r="D31" s="1">
        <v>27.3</v>
      </c>
      <c r="E31" s="1">
        <v>13.9</v>
      </c>
      <c r="F31" s="1">
        <v>20.5</v>
      </c>
      <c r="G31" s="1">
        <v>260</v>
      </c>
      <c r="H31" s="3">
        <v>27.3</v>
      </c>
      <c r="I31" s="3">
        <v>15</v>
      </c>
      <c r="J31" s="3">
        <v>21.1</v>
      </c>
      <c r="K31" s="3">
        <v>416</v>
      </c>
      <c r="L31" s="9">
        <f t="shared" si="5"/>
        <v>0</v>
      </c>
      <c r="M31" s="9">
        <f t="shared" si="6"/>
        <v>7.9136690647481984</v>
      </c>
      <c r="N31" s="9">
        <f t="shared" si="7"/>
        <v>2.9268292682926895</v>
      </c>
      <c r="O31" s="9">
        <f t="shared" si="8"/>
        <v>60</v>
      </c>
    </row>
    <row r="32" spans="1:15" x14ac:dyDescent="0.25">
      <c r="A32">
        <v>1982</v>
      </c>
      <c r="B32" t="s">
        <v>19</v>
      </c>
      <c r="C32" t="s">
        <v>3</v>
      </c>
      <c r="D32" s="1">
        <v>13.7</v>
      </c>
      <c r="E32" s="1">
        <v>3.8</v>
      </c>
      <c r="F32" s="1">
        <v>8.6</v>
      </c>
      <c r="G32" s="1">
        <v>167</v>
      </c>
      <c r="H32" s="2">
        <v>13.2</v>
      </c>
      <c r="I32" s="2">
        <v>4.5999999999999996</v>
      </c>
      <c r="J32" s="2">
        <v>8.9</v>
      </c>
      <c r="K32" s="2">
        <v>248</v>
      </c>
      <c r="L32" s="9">
        <f t="shared" si="5"/>
        <v>-3.6496350364963508</v>
      </c>
      <c r="M32" s="9">
        <f t="shared" si="6"/>
        <v>21.052631578947363</v>
      </c>
      <c r="N32" s="9">
        <f t="shared" si="7"/>
        <v>3.4883720930232642</v>
      </c>
      <c r="O32" s="9">
        <f t="shared" si="8"/>
        <v>48.50299401197605</v>
      </c>
    </row>
    <row r="33" spans="1:15" x14ac:dyDescent="0.25">
      <c r="A33">
        <v>1987</v>
      </c>
      <c r="B33" t="s">
        <v>19</v>
      </c>
      <c r="C33" t="s">
        <v>3</v>
      </c>
      <c r="D33" s="1">
        <v>13.7</v>
      </c>
      <c r="E33" s="1">
        <v>3.8</v>
      </c>
      <c r="F33" s="1">
        <v>8.6</v>
      </c>
      <c r="G33" s="1">
        <v>167</v>
      </c>
      <c r="H33" s="3">
        <v>13.9</v>
      </c>
      <c r="I33" s="3">
        <v>3.8</v>
      </c>
      <c r="J33" s="3">
        <v>8.8000000000000007</v>
      </c>
      <c r="K33" s="3">
        <v>204</v>
      </c>
      <c r="L33" s="9">
        <f t="shared" si="5"/>
        <v>1.4598540145985481</v>
      </c>
      <c r="M33" s="9">
        <f t="shared" si="6"/>
        <v>0</v>
      </c>
      <c r="N33" s="9">
        <f t="shared" si="7"/>
        <v>2.3255813953488498</v>
      </c>
      <c r="O33" s="9">
        <f t="shared" si="8"/>
        <v>22.155688622754489</v>
      </c>
    </row>
    <row r="34" spans="1:15" x14ac:dyDescent="0.25">
      <c r="A34">
        <v>1991</v>
      </c>
      <c r="B34" t="s">
        <v>19</v>
      </c>
      <c r="C34" t="s">
        <v>3</v>
      </c>
      <c r="D34" s="1">
        <v>13.8</v>
      </c>
      <c r="E34" s="1">
        <v>3.9</v>
      </c>
      <c r="F34" s="1">
        <v>8.6999999999999993</v>
      </c>
      <c r="G34" s="1">
        <v>195</v>
      </c>
      <c r="H34" s="2">
        <v>13.2</v>
      </c>
      <c r="I34" s="2">
        <v>3.9</v>
      </c>
      <c r="J34" s="2">
        <v>8.6</v>
      </c>
      <c r="K34" s="2">
        <v>204</v>
      </c>
      <c r="L34" s="9">
        <f t="shared" si="5"/>
        <v>-4.3478260869565322</v>
      </c>
      <c r="M34" s="9">
        <f t="shared" si="6"/>
        <v>0</v>
      </c>
      <c r="N34" s="9">
        <f t="shared" si="7"/>
        <v>-1.1494252873563178</v>
      </c>
      <c r="O34" s="9">
        <f t="shared" si="8"/>
        <v>4.6153846153846159</v>
      </c>
    </row>
    <row r="35" spans="1:15" x14ac:dyDescent="0.25">
      <c r="A35">
        <v>1994</v>
      </c>
      <c r="B35" t="s">
        <v>19</v>
      </c>
      <c r="C35" t="s">
        <v>3</v>
      </c>
      <c r="D35" s="1">
        <v>13.8</v>
      </c>
      <c r="E35" s="1">
        <v>3.9</v>
      </c>
      <c r="F35" s="1">
        <v>8.6999999999999993</v>
      </c>
      <c r="G35" s="1">
        <v>195</v>
      </c>
      <c r="H35" s="3">
        <v>13.4</v>
      </c>
      <c r="I35" s="3">
        <v>3.5</v>
      </c>
      <c r="J35" s="3">
        <v>8.4</v>
      </c>
      <c r="K35" s="3">
        <v>155</v>
      </c>
      <c r="L35" s="9">
        <f t="shared" si="5"/>
        <v>-2.8985507246376838</v>
      </c>
      <c r="M35" s="9">
        <f t="shared" si="6"/>
        <v>-10.256410256410255</v>
      </c>
      <c r="N35" s="9">
        <f t="shared" si="7"/>
        <v>-3.4482758620689538</v>
      </c>
      <c r="O35" s="9">
        <f t="shared" si="8"/>
        <v>-20.512820512820511</v>
      </c>
    </row>
    <row r="36" spans="1:15" x14ac:dyDescent="0.25">
      <c r="A36">
        <v>1997</v>
      </c>
      <c r="B36" t="s">
        <v>19</v>
      </c>
      <c r="C36" t="s">
        <v>3</v>
      </c>
      <c r="D36" s="1">
        <v>13.8</v>
      </c>
      <c r="E36" s="1">
        <v>3.9</v>
      </c>
      <c r="F36" s="1">
        <v>8.6999999999999993</v>
      </c>
      <c r="G36" s="1">
        <v>195</v>
      </c>
      <c r="H36" s="2">
        <v>14.2</v>
      </c>
      <c r="I36" s="2">
        <v>5.2</v>
      </c>
      <c r="J36" s="2">
        <v>9.6999999999999993</v>
      </c>
      <c r="K36" s="2">
        <v>219</v>
      </c>
      <c r="L36" s="9">
        <f t="shared" si="5"/>
        <v>2.8985507246376709</v>
      </c>
      <c r="M36" s="9">
        <f t="shared" si="6"/>
        <v>33.333333333333343</v>
      </c>
      <c r="N36" s="9">
        <f t="shared" si="7"/>
        <v>11.494252873563219</v>
      </c>
      <c r="O36" s="9">
        <f t="shared" si="8"/>
        <v>12.307692307692308</v>
      </c>
    </row>
    <row r="37" spans="1:15" x14ac:dyDescent="0.25">
      <c r="A37">
        <v>2002</v>
      </c>
      <c r="B37" t="s">
        <v>19</v>
      </c>
      <c r="C37" t="s">
        <v>3</v>
      </c>
      <c r="D37" s="1">
        <v>13.8</v>
      </c>
      <c r="E37" s="1">
        <v>3.9</v>
      </c>
      <c r="F37" s="1">
        <v>8.6999999999999993</v>
      </c>
      <c r="G37" s="1">
        <v>195</v>
      </c>
      <c r="H37" s="3">
        <v>12.9</v>
      </c>
      <c r="I37" s="3">
        <v>3.8</v>
      </c>
      <c r="J37" s="3">
        <v>8.4</v>
      </c>
      <c r="K37" s="3">
        <v>148</v>
      </c>
      <c r="L37" s="9">
        <f t="shared" si="5"/>
        <v>-6.5217391304347849</v>
      </c>
      <c r="M37" s="9">
        <f t="shared" si="6"/>
        <v>-2.5641025641025665</v>
      </c>
      <c r="N37" s="9">
        <f t="shared" si="7"/>
        <v>-3.4482758620689538</v>
      </c>
      <c r="O37" s="9">
        <f t="shared" si="8"/>
        <v>-24.102564102564102</v>
      </c>
    </row>
    <row r="38" spans="1:15" x14ac:dyDescent="0.25">
      <c r="A38">
        <v>2004</v>
      </c>
      <c r="B38" t="s">
        <v>19</v>
      </c>
      <c r="C38" t="s">
        <v>3</v>
      </c>
      <c r="D38" s="1">
        <v>13.8</v>
      </c>
      <c r="E38" s="1">
        <v>3.9</v>
      </c>
      <c r="F38" s="1">
        <v>8.6999999999999993</v>
      </c>
      <c r="G38" s="1">
        <v>195</v>
      </c>
      <c r="H38" s="2">
        <v>13.9</v>
      </c>
      <c r="I38" s="2">
        <v>4.3</v>
      </c>
      <c r="J38" s="2">
        <v>9.1</v>
      </c>
      <c r="K38" s="2">
        <v>214</v>
      </c>
      <c r="L38" s="9">
        <f t="shared" si="5"/>
        <v>0.72463768115941773</v>
      </c>
      <c r="M38" s="9">
        <f t="shared" si="6"/>
        <v>10.256410256410255</v>
      </c>
      <c r="N38" s="9">
        <f t="shared" si="7"/>
        <v>4.5977011494252924</v>
      </c>
      <c r="O38" s="9">
        <f t="shared" si="8"/>
        <v>9.7435897435897445</v>
      </c>
    </row>
    <row r="39" spans="1:15" x14ac:dyDescent="0.25">
      <c r="A39">
        <v>2015</v>
      </c>
      <c r="B39" t="s">
        <v>19</v>
      </c>
      <c r="C39" t="s">
        <v>3</v>
      </c>
      <c r="D39" s="1">
        <v>13.8</v>
      </c>
      <c r="E39" s="1">
        <v>3.9</v>
      </c>
      <c r="F39" s="1">
        <v>8.6999999999999993</v>
      </c>
      <c r="G39" s="1">
        <v>195</v>
      </c>
      <c r="H39" s="3">
        <v>15</v>
      </c>
      <c r="I39" s="3">
        <v>4.9000000000000004</v>
      </c>
      <c r="J39" s="3">
        <v>10</v>
      </c>
      <c r="K39" s="3">
        <v>267</v>
      </c>
      <c r="L39" s="9">
        <f t="shared" si="5"/>
        <v>8.6956521739130377</v>
      </c>
      <c r="M39" s="9">
        <f t="shared" si="6"/>
        <v>25.641025641025657</v>
      </c>
      <c r="N39" s="9">
        <f t="shared" si="7"/>
        <v>14.942528735632193</v>
      </c>
      <c r="O39" s="9">
        <f t="shared" si="8"/>
        <v>36.923076923076927</v>
      </c>
    </row>
    <row r="40" spans="1:15" x14ac:dyDescent="0.25">
      <c r="A40">
        <v>2023</v>
      </c>
      <c r="B40" t="s">
        <v>19</v>
      </c>
      <c r="C40" t="s">
        <v>3</v>
      </c>
      <c r="D40" s="1">
        <v>13.8</v>
      </c>
      <c r="E40" s="1">
        <v>3.9</v>
      </c>
      <c r="F40" s="1">
        <v>8.6999999999999993</v>
      </c>
      <c r="G40" s="1">
        <v>195</v>
      </c>
      <c r="H40" s="2">
        <v>14.1</v>
      </c>
      <c r="I40" s="2">
        <v>4.2</v>
      </c>
      <c r="J40" s="2">
        <v>9.1999999999999993</v>
      </c>
      <c r="K40" s="2">
        <v>236</v>
      </c>
      <c r="L40" s="9">
        <f t="shared" si="5"/>
        <v>2.1739130434782532</v>
      </c>
      <c r="M40" s="9">
        <f t="shared" si="6"/>
        <v>7.6923076923076996</v>
      </c>
      <c r="N40" s="9">
        <f t="shared" si="7"/>
        <v>5.7471264367816097</v>
      </c>
      <c r="O40" s="9">
        <f t="shared" si="8"/>
        <v>21.025641025641026</v>
      </c>
    </row>
    <row r="41" spans="1:15" x14ac:dyDescent="0.25">
      <c r="A41">
        <v>1982</v>
      </c>
      <c r="B41" t="s">
        <v>19</v>
      </c>
      <c r="C41" t="s">
        <v>17</v>
      </c>
      <c r="D41" s="1">
        <v>18.8</v>
      </c>
      <c r="E41" s="1">
        <v>7.9</v>
      </c>
      <c r="F41" s="1">
        <v>13.5</v>
      </c>
      <c r="G41" s="1">
        <v>201</v>
      </c>
      <c r="H41" s="2">
        <v>18.8</v>
      </c>
      <c r="I41" s="2">
        <v>8.3000000000000007</v>
      </c>
      <c r="J41" s="2">
        <v>13.5</v>
      </c>
      <c r="K41" s="2">
        <v>287</v>
      </c>
      <c r="L41" s="9">
        <f t="shared" si="5"/>
        <v>0</v>
      </c>
      <c r="M41" s="9">
        <f t="shared" si="6"/>
        <v>5.0632911392405102</v>
      </c>
      <c r="N41" s="9">
        <f t="shared" si="7"/>
        <v>0</v>
      </c>
      <c r="O41" s="9">
        <f t="shared" si="8"/>
        <v>42.786069651741293</v>
      </c>
    </row>
    <row r="42" spans="1:15" x14ac:dyDescent="0.25">
      <c r="A42">
        <v>1987</v>
      </c>
      <c r="B42" t="s">
        <v>19</v>
      </c>
      <c r="C42" t="s">
        <v>17</v>
      </c>
      <c r="D42" s="1">
        <v>18.8</v>
      </c>
      <c r="E42" s="1">
        <v>7.9</v>
      </c>
      <c r="F42" s="1">
        <v>13.5</v>
      </c>
      <c r="G42" s="1">
        <v>201</v>
      </c>
      <c r="H42" s="3">
        <v>18.100000000000001</v>
      </c>
      <c r="I42" s="3">
        <v>7.3</v>
      </c>
      <c r="J42" s="3">
        <v>12.7</v>
      </c>
      <c r="K42" s="3">
        <v>184</v>
      </c>
      <c r="L42" s="9">
        <f t="shared" si="5"/>
        <v>-3.7234042553191453</v>
      </c>
      <c r="M42" s="9">
        <f t="shared" si="6"/>
        <v>-7.5949367088607653</v>
      </c>
      <c r="N42" s="9">
        <f t="shared" si="7"/>
        <v>-5.9259259259259309</v>
      </c>
      <c r="O42" s="9">
        <f t="shared" si="8"/>
        <v>-8.4577114427860707</v>
      </c>
    </row>
    <row r="43" spans="1:15" x14ac:dyDescent="0.25">
      <c r="A43">
        <v>1991</v>
      </c>
      <c r="B43" t="s">
        <v>19</v>
      </c>
      <c r="C43" t="s">
        <v>17</v>
      </c>
      <c r="D43" s="1">
        <v>18.8</v>
      </c>
      <c r="E43" s="1">
        <v>7.8</v>
      </c>
      <c r="F43" s="1">
        <v>13.3</v>
      </c>
      <c r="G43" s="1">
        <v>210</v>
      </c>
      <c r="H43" s="2">
        <v>18.7</v>
      </c>
      <c r="I43" s="2">
        <v>8.5</v>
      </c>
      <c r="J43" s="2">
        <v>13.6</v>
      </c>
      <c r="K43" s="2">
        <v>305</v>
      </c>
      <c r="L43" s="9">
        <f t="shared" si="5"/>
        <v>-0.53191489361702882</v>
      </c>
      <c r="M43" s="9">
        <f t="shared" si="6"/>
        <v>8.974358974358978</v>
      </c>
      <c r="N43" s="9">
        <f t="shared" si="7"/>
        <v>2.255639097744353</v>
      </c>
      <c r="O43" s="9">
        <f t="shared" si="8"/>
        <v>45.238095238095241</v>
      </c>
    </row>
    <row r="44" spans="1:15" x14ac:dyDescent="0.25">
      <c r="A44">
        <v>1994</v>
      </c>
      <c r="B44" t="s">
        <v>19</v>
      </c>
      <c r="C44" t="s">
        <v>17</v>
      </c>
      <c r="D44" s="1">
        <v>18.8</v>
      </c>
      <c r="E44" s="1">
        <v>7.8</v>
      </c>
      <c r="F44" s="1">
        <v>13.3</v>
      </c>
      <c r="G44" s="1">
        <v>210</v>
      </c>
      <c r="H44" s="3">
        <v>18.7</v>
      </c>
      <c r="I44" s="3">
        <v>7.9</v>
      </c>
      <c r="J44" s="3">
        <v>13.3</v>
      </c>
      <c r="K44" s="3">
        <v>253</v>
      </c>
      <c r="L44" s="9">
        <f t="shared" si="5"/>
        <v>-0.53191489361702882</v>
      </c>
      <c r="M44" s="9">
        <f t="shared" si="6"/>
        <v>1.282051282051289</v>
      </c>
      <c r="N44" s="9">
        <f t="shared" si="7"/>
        <v>0</v>
      </c>
      <c r="O44" s="9">
        <f t="shared" si="8"/>
        <v>20.476190476190474</v>
      </c>
    </row>
    <row r="45" spans="1:15" x14ac:dyDescent="0.25">
      <c r="A45">
        <v>1997</v>
      </c>
      <c r="B45" t="s">
        <v>19</v>
      </c>
      <c r="C45" t="s">
        <v>17</v>
      </c>
      <c r="D45" s="1">
        <v>18.8</v>
      </c>
      <c r="E45" s="1">
        <v>7.8</v>
      </c>
      <c r="F45" s="1">
        <v>13.3</v>
      </c>
      <c r="G45" s="1">
        <v>210</v>
      </c>
      <c r="H45" s="2">
        <v>17.8</v>
      </c>
      <c r="I45" s="2">
        <v>7.6</v>
      </c>
      <c r="J45" s="2">
        <v>12.7</v>
      </c>
      <c r="K45" s="2">
        <v>262</v>
      </c>
      <c r="L45" s="9">
        <f t="shared" si="5"/>
        <v>-5.3191489361702127</v>
      </c>
      <c r="M45" s="9">
        <f t="shared" si="6"/>
        <v>-2.5641025641025665</v>
      </c>
      <c r="N45" s="9">
        <f t="shared" si="7"/>
        <v>-4.5112781954887318</v>
      </c>
      <c r="O45" s="9">
        <f t="shared" si="8"/>
        <v>24.761904761904763</v>
      </c>
    </row>
    <row r="46" spans="1:15" x14ac:dyDescent="0.25">
      <c r="A46">
        <v>2002</v>
      </c>
      <c r="B46" t="s">
        <v>19</v>
      </c>
      <c r="C46" t="s">
        <v>17</v>
      </c>
      <c r="D46" s="1">
        <v>18.8</v>
      </c>
      <c r="E46" s="1">
        <v>7.8</v>
      </c>
      <c r="F46" s="1">
        <v>13.3</v>
      </c>
      <c r="G46" s="1">
        <v>210</v>
      </c>
      <c r="H46" s="3">
        <v>19.100000000000001</v>
      </c>
      <c r="I46" s="3">
        <v>8.6</v>
      </c>
      <c r="J46" s="3">
        <v>13.8</v>
      </c>
      <c r="K46" s="3">
        <v>470</v>
      </c>
      <c r="L46" s="9">
        <f t="shared" si="5"/>
        <v>1.5957446808510676</v>
      </c>
      <c r="M46" s="9">
        <f t="shared" si="6"/>
        <v>10.256410256410255</v>
      </c>
      <c r="N46" s="9">
        <f t="shared" si="7"/>
        <v>3.7593984962406015</v>
      </c>
      <c r="O46" s="9">
        <f t="shared" si="8"/>
        <v>123.80952380952381</v>
      </c>
    </row>
    <row r="47" spans="1:15" x14ac:dyDescent="0.25">
      <c r="A47">
        <v>2004</v>
      </c>
      <c r="B47" t="s">
        <v>19</v>
      </c>
      <c r="C47" t="s">
        <v>17</v>
      </c>
      <c r="D47" s="1">
        <v>18.8</v>
      </c>
      <c r="E47" s="1">
        <v>7.8</v>
      </c>
      <c r="F47" s="1">
        <v>13.3</v>
      </c>
      <c r="G47" s="1">
        <v>210</v>
      </c>
      <c r="H47" s="2">
        <v>18.7</v>
      </c>
      <c r="I47" s="2">
        <v>7.7</v>
      </c>
      <c r="J47" s="2">
        <v>13.2</v>
      </c>
      <c r="K47" s="2">
        <v>159</v>
      </c>
      <c r="L47" s="9">
        <f t="shared" si="5"/>
        <v>-0.53191489361702882</v>
      </c>
      <c r="M47" s="9">
        <f t="shared" si="6"/>
        <v>-1.2820512820512775</v>
      </c>
      <c r="N47" s="9">
        <f t="shared" si="7"/>
        <v>-0.75187969924813092</v>
      </c>
      <c r="O47" s="9">
        <f t="shared" si="8"/>
        <v>-24.285714285714285</v>
      </c>
    </row>
    <row r="48" spans="1:15" x14ac:dyDescent="0.25">
      <c r="A48">
        <v>2015</v>
      </c>
      <c r="B48" t="s">
        <v>19</v>
      </c>
      <c r="C48" t="s">
        <v>17</v>
      </c>
      <c r="D48" s="1">
        <v>18.8</v>
      </c>
      <c r="E48" s="1">
        <v>7.8</v>
      </c>
      <c r="F48" s="1">
        <v>13.3</v>
      </c>
      <c r="G48" s="1">
        <v>210</v>
      </c>
      <c r="H48" s="3">
        <v>17.899999999999999</v>
      </c>
      <c r="I48" s="3">
        <v>7.2</v>
      </c>
      <c r="J48" s="3">
        <v>12.6</v>
      </c>
      <c r="K48" s="3">
        <v>162</v>
      </c>
      <c r="L48" s="9">
        <f t="shared" si="5"/>
        <v>-4.7872340425532025</v>
      </c>
      <c r="M48" s="9">
        <f t="shared" si="6"/>
        <v>-7.692307692307689</v>
      </c>
      <c r="N48" s="9">
        <f t="shared" si="7"/>
        <v>-5.2631578947368505</v>
      </c>
      <c r="O48" s="9">
        <f t="shared" si="8"/>
        <v>-22.857142857142858</v>
      </c>
    </row>
    <row r="49" spans="1:15" x14ac:dyDescent="0.25">
      <c r="A49">
        <v>2023</v>
      </c>
      <c r="B49" t="s">
        <v>19</v>
      </c>
      <c r="C49" t="s">
        <v>17</v>
      </c>
      <c r="D49" s="1">
        <v>18.8</v>
      </c>
      <c r="E49" s="1">
        <v>7.8</v>
      </c>
      <c r="F49" s="1">
        <v>13.3</v>
      </c>
      <c r="G49" s="1">
        <v>210</v>
      </c>
      <c r="H49" s="2">
        <v>19.2</v>
      </c>
      <c r="I49" s="2">
        <v>7</v>
      </c>
      <c r="J49" s="2">
        <v>13.1</v>
      </c>
      <c r="K49" s="2">
        <v>122</v>
      </c>
      <c r="L49" s="9">
        <f t="shared" si="5"/>
        <v>2.1276595744680775</v>
      </c>
      <c r="M49" s="9">
        <f t="shared" si="6"/>
        <v>-10.256410256410255</v>
      </c>
      <c r="N49" s="9">
        <f t="shared" si="7"/>
        <v>-1.5037593984962485</v>
      </c>
      <c r="O49" s="9">
        <f t="shared" si="8"/>
        <v>-41.904761904761905</v>
      </c>
    </row>
    <row r="50" spans="1:15" x14ac:dyDescent="0.25">
      <c r="A50">
        <v>1982</v>
      </c>
      <c r="B50" t="s">
        <v>19</v>
      </c>
      <c r="C50" t="s">
        <v>18</v>
      </c>
      <c r="D50" s="1">
        <v>25.5</v>
      </c>
      <c r="E50" s="1">
        <v>13.8</v>
      </c>
      <c r="F50" s="1">
        <v>19.600000000000001</v>
      </c>
      <c r="G50" s="1">
        <v>276</v>
      </c>
      <c r="H50" s="2">
        <v>26.9</v>
      </c>
      <c r="I50" s="2">
        <v>15</v>
      </c>
      <c r="J50" s="2">
        <v>21</v>
      </c>
      <c r="K50" s="2">
        <v>305</v>
      </c>
      <c r="L50" s="9">
        <f t="shared" si="5"/>
        <v>5.4901960784313673</v>
      </c>
      <c r="M50" s="9">
        <f t="shared" si="6"/>
        <v>8.6956521739130377</v>
      </c>
      <c r="N50" s="9">
        <f t="shared" si="7"/>
        <v>7.1428571428571352</v>
      </c>
      <c r="O50" s="9">
        <f t="shared" si="8"/>
        <v>10.507246376811594</v>
      </c>
    </row>
    <row r="51" spans="1:15" x14ac:dyDescent="0.25">
      <c r="A51">
        <v>1987</v>
      </c>
      <c r="B51" t="s">
        <v>19</v>
      </c>
      <c r="C51" t="s">
        <v>18</v>
      </c>
      <c r="D51" s="1">
        <v>25.5</v>
      </c>
      <c r="E51" s="1">
        <v>13.8</v>
      </c>
      <c r="F51" s="1">
        <v>19.600000000000001</v>
      </c>
      <c r="G51" s="1">
        <v>276</v>
      </c>
      <c r="H51" s="3">
        <v>24.2</v>
      </c>
      <c r="I51" s="3">
        <v>13.8</v>
      </c>
      <c r="J51" s="3">
        <v>19</v>
      </c>
      <c r="K51" s="3">
        <v>247</v>
      </c>
      <c r="L51" s="9">
        <f t="shared" si="5"/>
        <v>-5.0980392156862768</v>
      </c>
      <c r="M51" s="9">
        <f t="shared" si="6"/>
        <v>0</v>
      </c>
      <c r="N51" s="9">
        <f t="shared" si="7"/>
        <v>-3.0612244897959253</v>
      </c>
      <c r="O51" s="9">
        <f t="shared" si="8"/>
        <v>-10.507246376811594</v>
      </c>
    </row>
    <row r="52" spans="1:15" x14ac:dyDescent="0.25">
      <c r="A52">
        <v>1991</v>
      </c>
      <c r="B52" t="s">
        <v>19</v>
      </c>
      <c r="C52" t="s">
        <v>18</v>
      </c>
      <c r="D52" s="1">
        <v>25.8</v>
      </c>
      <c r="E52" s="1">
        <v>14</v>
      </c>
      <c r="F52" s="1">
        <v>20</v>
      </c>
      <c r="G52" s="1">
        <v>274</v>
      </c>
      <c r="H52" s="2">
        <v>24.9</v>
      </c>
      <c r="I52" s="2">
        <v>14</v>
      </c>
      <c r="J52" s="2">
        <v>19.5</v>
      </c>
      <c r="K52" s="2">
        <v>463</v>
      </c>
      <c r="L52" s="9">
        <f t="shared" si="5"/>
        <v>-3.4883720930232642</v>
      </c>
      <c r="M52" s="9">
        <f t="shared" si="6"/>
        <v>0</v>
      </c>
      <c r="N52" s="9">
        <f t="shared" si="7"/>
        <v>-2.5</v>
      </c>
      <c r="O52" s="9">
        <f t="shared" si="8"/>
        <v>68.978102189781026</v>
      </c>
    </row>
    <row r="53" spans="1:15" x14ac:dyDescent="0.25">
      <c r="A53">
        <v>1994</v>
      </c>
      <c r="B53" t="s">
        <v>19</v>
      </c>
      <c r="C53" t="s">
        <v>18</v>
      </c>
      <c r="D53" s="1">
        <v>25.8</v>
      </c>
      <c r="E53" s="1">
        <v>14</v>
      </c>
      <c r="F53" s="1">
        <v>20</v>
      </c>
      <c r="G53" s="1">
        <v>274</v>
      </c>
      <c r="H53" s="3">
        <v>25.4</v>
      </c>
      <c r="I53" s="3">
        <v>13.9</v>
      </c>
      <c r="J53" s="3">
        <v>19.7</v>
      </c>
      <c r="K53" s="3">
        <v>287</v>
      </c>
      <c r="L53" s="9">
        <f t="shared" si="5"/>
        <v>-1.5503875968992331</v>
      </c>
      <c r="M53" s="9">
        <f t="shared" si="6"/>
        <v>-0.71428571428571175</v>
      </c>
      <c r="N53" s="9">
        <f t="shared" si="7"/>
        <v>-1.5000000000000036</v>
      </c>
      <c r="O53" s="9">
        <f t="shared" si="8"/>
        <v>4.7445255474452548</v>
      </c>
    </row>
    <row r="54" spans="1:15" x14ac:dyDescent="0.25">
      <c r="A54">
        <v>1997</v>
      </c>
      <c r="B54" t="s">
        <v>19</v>
      </c>
      <c r="C54" t="s">
        <v>18</v>
      </c>
      <c r="D54" s="1">
        <v>25.8</v>
      </c>
      <c r="E54" s="1">
        <v>14</v>
      </c>
      <c r="F54" s="1">
        <v>20</v>
      </c>
      <c r="G54" s="1">
        <v>274</v>
      </c>
      <c r="H54" s="2">
        <v>23.7</v>
      </c>
      <c r="I54" s="2">
        <v>12.8</v>
      </c>
      <c r="J54" s="2">
        <v>18.3</v>
      </c>
      <c r="K54" s="2">
        <v>276</v>
      </c>
      <c r="L54" s="9">
        <f t="shared" si="5"/>
        <v>-8.1395348837209358</v>
      </c>
      <c r="M54" s="9">
        <f t="shared" si="6"/>
        <v>-8.5714285714285658</v>
      </c>
      <c r="N54" s="9">
        <f t="shared" si="7"/>
        <v>-8.4999999999999964</v>
      </c>
      <c r="O54" s="9">
        <f t="shared" si="8"/>
        <v>0.72992700729927007</v>
      </c>
    </row>
    <row r="55" spans="1:15" x14ac:dyDescent="0.25">
      <c r="A55">
        <v>2002</v>
      </c>
      <c r="B55" t="s">
        <v>19</v>
      </c>
      <c r="C55" t="s">
        <v>18</v>
      </c>
      <c r="D55" s="1">
        <v>25.8</v>
      </c>
      <c r="E55" s="1">
        <v>14</v>
      </c>
      <c r="F55" s="1">
        <v>20</v>
      </c>
      <c r="G55" s="1">
        <v>274</v>
      </c>
      <c r="H55" s="3">
        <v>26</v>
      </c>
      <c r="I55" s="3">
        <v>14</v>
      </c>
      <c r="J55" s="3">
        <v>20</v>
      </c>
      <c r="K55" s="3">
        <v>233</v>
      </c>
      <c r="L55" s="9">
        <f t="shared" si="5"/>
        <v>0.77519379844960956</v>
      </c>
      <c r="M55" s="9">
        <f t="shared" si="6"/>
        <v>0</v>
      </c>
      <c r="N55" s="9">
        <f t="shared" si="7"/>
        <v>0</v>
      </c>
      <c r="O55" s="9">
        <f t="shared" si="8"/>
        <v>-14.963503649635038</v>
      </c>
    </row>
    <row r="56" spans="1:15" x14ac:dyDescent="0.25">
      <c r="A56">
        <v>2004</v>
      </c>
      <c r="B56" t="s">
        <v>19</v>
      </c>
      <c r="C56" t="s">
        <v>18</v>
      </c>
      <c r="D56" s="1">
        <v>25.8</v>
      </c>
      <c r="E56" s="1">
        <v>14</v>
      </c>
      <c r="F56" s="1">
        <v>20</v>
      </c>
      <c r="G56" s="1">
        <v>274</v>
      </c>
      <c r="H56" s="2">
        <v>25.9</v>
      </c>
      <c r="I56" s="2">
        <v>14.2</v>
      </c>
      <c r="J56" s="2">
        <v>20.100000000000001</v>
      </c>
      <c r="K56" s="2">
        <v>256</v>
      </c>
      <c r="L56" s="9">
        <f t="shared" si="5"/>
        <v>0.3875968992247979</v>
      </c>
      <c r="M56" s="9">
        <f t="shared" si="6"/>
        <v>1.4285714285714235</v>
      </c>
      <c r="N56" s="9">
        <f t="shared" si="7"/>
        <v>0.50000000000000711</v>
      </c>
      <c r="O56" s="9">
        <f t="shared" si="8"/>
        <v>-6.5693430656934311</v>
      </c>
    </row>
    <row r="57" spans="1:15" x14ac:dyDescent="0.25">
      <c r="A57">
        <v>2015</v>
      </c>
      <c r="B57" t="s">
        <v>19</v>
      </c>
      <c r="C57" t="s">
        <v>18</v>
      </c>
      <c r="D57" s="1">
        <v>25.8</v>
      </c>
      <c r="E57" s="1">
        <v>14</v>
      </c>
      <c r="F57" s="1">
        <v>20</v>
      </c>
      <c r="G57" s="1">
        <v>274</v>
      </c>
      <c r="H57" s="3">
        <v>26.5</v>
      </c>
      <c r="I57" s="3">
        <v>14.8</v>
      </c>
      <c r="J57" s="3">
        <v>20.6</v>
      </c>
      <c r="K57" s="3">
        <v>393</v>
      </c>
      <c r="L57" s="9">
        <f t="shared" si="5"/>
        <v>2.7131782945736407</v>
      </c>
      <c r="M57" s="9">
        <f t="shared" si="6"/>
        <v>5.7142857142857197</v>
      </c>
      <c r="N57" s="9">
        <f t="shared" si="7"/>
        <v>3.0000000000000071</v>
      </c>
      <c r="O57" s="9">
        <f t="shared" si="8"/>
        <v>43.430656934306569</v>
      </c>
    </row>
    <row r="58" spans="1:15" x14ac:dyDescent="0.25">
      <c r="A58">
        <v>2023</v>
      </c>
      <c r="B58" t="s">
        <v>19</v>
      </c>
      <c r="C58" t="s">
        <v>18</v>
      </c>
      <c r="D58" s="1">
        <v>25.8</v>
      </c>
      <c r="E58" s="1">
        <v>14</v>
      </c>
      <c r="F58" s="1">
        <v>20</v>
      </c>
      <c r="G58" s="1">
        <v>274</v>
      </c>
      <c r="H58" s="2">
        <v>26</v>
      </c>
      <c r="I58" s="2">
        <v>14.8</v>
      </c>
      <c r="J58" s="2">
        <v>20.399999999999999</v>
      </c>
      <c r="K58" s="2">
        <v>251</v>
      </c>
      <c r="L58" s="9">
        <f t="shared" si="5"/>
        <v>0.77519379844960956</v>
      </c>
      <c r="M58" s="9">
        <f t="shared" si="6"/>
        <v>5.7142857142857197</v>
      </c>
      <c r="N58" s="9">
        <f t="shared" si="7"/>
        <v>1.9999999999999927</v>
      </c>
      <c r="O58" s="9">
        <f t="shared" si="8"/>
        <v>-8.3941605839416056</v>
      </c>
    </row>
    <row r="59" spans="1:15" x14ac:dyDescent="0.25">
      <c r="A59">
        <v>1982</v>
      </c>
      <c r="B59" t="s">
        <v>20</v>
      </c>
      <c r="C59" t="s">
        <v>3</v>
      </c>
      <c r="D59" s="1">
        <v>13.4</v>
      </c>
      <c r="E59" s="1">
        <v>2.4</v>
      </c>
      <c r="F59" s="1">
        <v>7.8</v>
      </c>
      <c r="G59" s="1">
        <v>105</v>
      </c>
      <c r="H59" s="2">
        <v>12.4</v>
      </c>
      <c r="I59" s="2">
        <v>3.1</v>
      </c>
      <c r="J59" s="2">
        <v>7.8</v>
      </c>
      <c r="K59" s="2">
        <v>100</v>
      </c>
      <c r="L59" s="9">
        <f t="shared" si="5"/>
        <v>-7.4626865671641784</v>
      </c>
      <c r="M59" s="9">
        <f t="shared" si="6"/>
        <v>29.166666666666675</v>
      </c>
      <c r="N59" s="9">
        <f t="shared" si="7"/>
        <v>0</v>
      </c>
      <c r="O59" s="9">
        <f t="shared" si="8"/>
        <v>-4.7619047619047619</v>
      </c>
    </row>
    <row r="60" spans="1:15" x14ac:dyDescent="0.25">
      <c r="A60">
        <v>1987</v>
      </c>
      <c r="B60" t="s">
        <v>20</v>
      </c>
      <c r="C60" t="s">
        <v>3</v>
      </c>
      <c r="D60" s="1">
        <v>13.4</v>
      </c>
      <c r="E60" s="1">
        <v>2.4</v>
      </c>
      <c r="F60" s="1">
        <v>7.8</v>
      </c>
      <c r="G60" s="1">
        <v>105</v>
      </c>
      <c r="H60" s="3">
        <v>13.5</v>
      </c>
      <c r="I60" s="3">
        <v>3.5</v>
      </c>
      <c r="J60" s="3">
        <v>8.5</v>
      </c>
      <c r="K60" s="3">
        <v>175</v>
      </c>
      <c r="L60" s="9">
        <f t="shared" si="5"/>
        <v>0.74626865671641518</v>
      </c>
      <c r="M60" s="9">
        <f t="shared" si="6"/>
        <v>45.833333333333336</v>
      </c>
      <c r="N60" s="9">
        <f t="shared" si="7"/>
        <v>8.974358974358978</v>
      </c>
      <c r="O60" s="9">
        <f t="shared" si="8"/>
        <v>66.666666666666657</v>
      </c>
    </row>
    <row r="61" spans="1:15" x14ac:dyDescent="0.25">
      <c r="A61">
        <v>1991</v>
      </c>
      <c r="B61" t="s">
        <v>20</v>
      </c>
      <c r="C61" t="s">
        <v>3</v>
      </c>
      <c r="D61" s="1">
        <v>13.6</v>
      </c>
      <c r="E61" s="1">
        <v>1.9</v>
      </c>
      <c r="F61" s="1">
        <v>7.7</v>
      </c>
      <c r="G61" s="1">
        <v>143</v>
      </c>
      <c r="H61" s="2">
        <v>12.8</v>
      </c>
      <c r="I61" s="2">
        <v>2.2999999999999998</v>
      </c>
      <c r="J61" s="2">
        <v>7.6</v>
      </c>
      <c r="K61" s="2">
        <v>164</v>
      </c>
      <c r="L61" s="9">
        <f t="shared" si="5"/>
        <v>-5.882352941176463</v>
      </c>
      <c r="M61" s="9">
        <f t="shared" si="6"/>
        <v>21.052631578947363</v>
      </c>
      <c r="N61" s="9">
        <f t="shared" si="7"/>
        <v>-1.2987012987013056</v>
      </c>
      <c r="O61" s="9">
        <f t="shared" si="8"/>
        <v>14.685314685314685</v>
      </c>
    </row>
    <row r="62" spans="1:15" x14ac:dyDescent="0.25">
      <c r="A62">
        <v>1994</v>
      </c>
      <c r="B62" t="s">
        <v>20</v>
      </c>
      <c r="C62" t="s">
        <v>3</v>
      </c>
      <c r="D62" s="1">
        <v>13.6</v>
      </c>
      <c r="E62" s="1">
        <v>1.9</v>
      </c>
      <c r="F62" s="1">
        <v>7.7</v>
      </c>
      <c r="G62" s="1">
        <v>143</v>
      </c>
      <c r="H62" s="3">
        <v>13.3</v>
      </c>
      <c r="I62" s="3">
        <v>1.6</v>
      </c>
      <c r="J62" s="3">
        <v>7.5</v>
      </c>
      <c r="K62" s="3">
        <v>116</v>
      </c>
      <c r="L62" s="9">
        <f t="shared" si="5"/>
        <v>-2.2058823529411686</v>
      </c>
      <c r="M62" s="9">
        <f t="shared" si="6"/>
        <v>-15.789473684210517</v>
      </c>
      <c r="N62" s="9">
        <f t="shared" si="7"/>
        <v>-2.5974025974025996</v>
      </c>
      <c r="O62" s="9">
        <f t="shared" si="8"/>
        <v>-18.88111888111888</v>
      </c>
    </row>
    <row r="63" spans="1:15" x14ac:dyDescent="0.25">
      <c r="A63">
        <v>1997</v>
      </c>
      <c r="B63" t="s">
        <v>20</v>
      </c>
      <c r="C63" t="s">
        <v>3</v>
      </c>
      <c r="D63" s="1">
        <v>13.6</v>
      </c>
      <c r="E63" s="1">
        <v>1.9</v>
      </c>
      <c r="F63" s="1">
        <v>7.7</v>
      </c>
      <c r="G63" s="1">
        <v>143</v>
      </c>
      <c r="H63" s="2">
        <v>13.8</v>
      </c>
      <c r="I63" s="2">
        <v>3.9</v>
      </c>
      <c r="J63" s="2">
        <v>8.8000000000000007</v>
      </c>
      <c r="K63" s="2">
        <v>212</v>
      </c>
      <c r="L63" s="9">
        <f t="shared" si="5"/>
        <v>1.4705882352941255</v>
      </c>
      <c r="M63" s="9">
        <f t="shared" si="6"/>
        <v>105.26315789473684</v>
      </c>
      <c r="N63" s="9">
        <f t="shared" si="7"/>
        <v>14.285714285714294</v>
      </c>
      <c r="O63" s="9">
        <f t="shared" si="8"/>
        <v>48.251748251748253</v>
      </c>
    </row>
    <row r="64" spans="1:15" x14ac:dyDescent="0.25">
      <c r="A64">
        <v>2002</v>
      </c>
      <c r="B64" t="s">
        <v>20</v>
      </c>
      <c r="C64" t="s">
        <v>3</v>
      </c>
      <c r="D64" s="1">
        <v>13.6</v>
      </c>
      <c r="E64" s="1">
        <v>1.9</v>
      </c>
      <c r="F64" s="1">
        <v>7.7</v>
      </c>
      <c r="G64" s="1">
        <v>143</v>
      </c>
      <c r="H64" s="3">
        <v>12.8</v>
      </c>
      <c r="I64" s="3">
        <v>2.2999999999999998</v>
      </c>
      <c r="J64" s="3">
        <v>7.5</v>
      </c>
      <c r="K64" s="3">
        <v>150</v>
      </c>
      <c r="L64" s="9">
        <f t="shared" si="5"/>
        <v>-5.882352941176463</v>
      </c>
      <c r="M64" s="9">
        <f t="shared" si="6"/>
        <v>21.052631578947363</v>
      </c>
      <c r="N64" s="9">
        <f t="shared" si="7"/>
        <v>-2.5974025974025996</v>
      </c>
      <c r="O64" s="9">
        <f t="shared" si="8"/>
        <v>4.895104895104895</v>
      </c>
    </row>
    <row r="65" spans="1:15" x14ac:dyDescent="0.25">
      <c r="A65">
        <v>2004</v>
      </c>
      <c r="B65" t="s">
        <v>20</v>
      </c>
      <c r="C65" t="s">
        <v>3</v>
      </c>
      <c r="D65" s="1">
        <v>13.6</v>
      </c>
      <c r="E65" s="1">
        <v>1.9</v>
      </c>
      <c r="F65" s="1">
        <v>7.7</v>
      </c>
      <c r="G65" s="1">
        <v>143</v>
      </c>
      <c r="H65" s="2">
        <v>13.9</v>
      </c>
      <c r="I65" s="2">
        <v>2.5</v>
      </c>
      <c r="J65" s="2">
        <v>8.1999999999999993</v>
      </c>
      <c r="K65" s="2">
        <v>211</v>
      </c>
      <c r="L65" s="9">
        <f t="shared" si="5"/>
        <v>2.205882352941182</v>
      </c>
      <c r="M65" s="9">
        <f t="shared" si="6"/>
        <v>31.578947368421055</v>
      </c>
      <c r="N65" s="9">
        <f t="shared" si="7"/>
        <v>6.4935064935064819</v>
      </c>
      <c r="O65" s="9">
        <f t="shared" si="8"/>
        <v>47.552447552447553</v>
      </c>
    </row>
    <row r="66" spans="1:15" x14ac:dyDescent="0.25">
      <c r="A66">
        <v>2015</v>
      </c>
      <c r="B66" t="s">
        <v>20</v>
      </c>
      <c r="C66" t="s">
        <v>3</v>
      </c>
      <c r="D66" s="1">
        <v>13.6</v>
      </c>
      <c r="E66" s="1">
        <v>1.9</v>
      </c>
      <c r="F66" s="1">
        <v>7.7</v>
      </c>
      <c r="G66" s="1">
        <v>143</v>
      </c>
      <c r="H66" s="3">
        <v>14.9</v>
      </c>
      <c r="I66" s="3">
        <v>2.9</v>
      </c>
      <c r="J66" s="3">
        <v>8.9</v>
      </c>
      <c r="K66" s="3">
        <v>254</v>
      </c>
      <c r="L66" s="9">
        <f t="shared" si="5"/>
        <v>9.5588235294117698</v>
      </c>
      <c r="M66" s="9">
        <f t="shared" si="6"/>
        <v>52.631578947368418</v>
      </c>
      <c r="N66" s="9">
        <f t="shared" si="7"/>
        <v>15.584415584415586</v>
      </c>
      <c r="O66" s="9">
        <f t="shared" si="8"/>
        <v>77.622377622377627</v>
      </c>
    </row>
    <row r="67" spans="1:15" x14ac:dyDescent="0.25">
      <c r="A67">
        <v>2023</v>
      </c>
      <c r="B67" t="s">
        <v>20</v>
      </c>
      <c r="C67" t="s">
        <v>3</v>
      </c>
      <c r="D67" s="1">
        <v>13.6</v>
      </c>
      <c r="E67" s="1">
        <v>1.9</v>
      </c>
      <c r="F67" s="1">
        <v>7.7</v>
      </c>
      <c r="G67" s="1">
        <v>143</v>
      </c>
      <c r="H67" s="2">
        <v>13.7</v>
      </c>
      <c r="I67" s="2">
        <v>1.6</v>
      </c>
      <c r="J67" s="2">
        <v>7.7</v>
      </c>
      <c r="K67" s="2">
        <v>123</v>
      </c>
      <c r="L67" s="9">
        <f t="shared" si="5"/>
        <v>0.73529411764705621</v>
      </c>
      <c r="M67" s="9">
        <f t="shared" si="6"/>
        <v>-15.789473684210517</v>
      </c>
      <c r="N67" s="9">
        <f t="shared" si="7"/>
        <v>0</v>
      </c>
      <c r="O67" s="9">
        <f t="shared" si="8"/>
        <v>-13.986013986013987</v>
      </c>
    </row>
    <row r="68" spans="1:15" x14ac:dyDescent="0.25">
      <c r="A68">
        <v>1982</v>
      </c>
      <c r="B68" t="s">
        <v>20</v>
      </c>
      <c r="C68" t="s">
        <v>17</v>
      </c>
      <c r="D68" s="1">
        <v>19.7</v>
      </c>
      <c r="E68" s="1">
        <v>7</v>
      </c>
      <c r="F68" s="1">
        <v>13.6</v>
      </c>
      <c r="G68" s="1">
        <v>237</v>
      </c>
      <c r="H68" s="2">
        <v>18.899999999999999</v>
      </c>
      <c r="I68" s="2">
        <v>7.6</v>
      </c>
      <c r="J68" s="2">
        <v>13.3</v>
      </c>
      <c r="K68" s="2">
        <v>311</v>
      </c>
      <c r="L68" s="9">
        <f t="shared" si="5"/>
        <v>-4.0609137055837605</v>
      </c>
      <c r="M68" s="9">
        <f t="shared" si="6"/>
        <v>8.5714285714285658</v>
      </c>
      <c r="N68" s="9">
        <f t="shared" si="7"/>
        <v>-2.2058823529411686</v>
      </c>
      <c r="O68" s="9">
        <f t="shared" si="8"/>
        <v>31.223628691983123</v>
      </c>
    </row>
    <row r="69" spans="1:15" x14ac:dyDescent="0.25">
      <c r="A69">
        <v>1987</v>
      </c>
      <c r="B69" t="s">
        <v>20</v>
      </c>
      <c r="C69" t="s">
        <v>17</v>
      </c>
      <c r="D69" s="1">
        <v>19.7</v>
      </c>
      <c r="E69" s="1">
        <v>7</v>
      </c>
      <c r="F69" s="1">
        <v>13.6</v>
      </c>
      <c r="G69" s="1">
        <v>237</v>
      </c>
      <c r="H69" s="3">
        <v>19</v>
      </c>
      <c r="I69" s="3">
        <v>7.5</v>
      </c>
      <c r="J69" s="3">
        <v>13.3</v>
      </c>
      <c r="K69" s="3">
        <v>234</v>
      </c>
      <c r="L69" s="9">
        <f t="shared" si="5"/>
        <v>-3.5532994923857837</v>
      </c>
      <c r="M69" s="9">
        <f t="shared" si="6"/>
        <v>7.1428571428571423</v>
      </c>
      <c r="N69" s="9">
        <f t="shared" si="7"/>
        <v>-2.2058823529411686</v>
      </c>
      <c r="O69" s="9">
        <f t="shared" si="8"/>
        <v>-1.2658227848101267</v>
      </c>
    </row>
    <row r="70" spans="1:15" x14ac:dyDescent="0.25">
      <c r="A70">
        <v>1991</v>
      </c>
      <c r="B70" t="s">
        <v>20</v>
      </c>
      <c r="C70" t="s">
        <v>17</v>
      </c>
      <c r="D70" s="1">
        <v>20.100000000000001</v>
      </c>
      <c r="E70" s="1">
        <v>6.7</v>
      </c>
      <c r="F70" s="1">
        <v>13.3</v>
      </c>
      <c r="G70" s="1">
        <v>235</v>
      </c>
      <c r="H70" s="2">
        <v>19.5</v>
      </c>
      <c r="I70" s="2">
        <v>7.6</v>
      </c>
      <c r="J70" s="2">
        <v>13.6</v>
      </c>
      <c r="K70" s="2">
        <v>264</v>
      </c>
      <c r="L70" s="9">
        <f t="shared" si="5"/>
        <v>-2.9850746268656785</v>
      </c>
      <c r="M70" s="9">
        <f t="shared" si="6"/>
        <v>13.432835820895514</v>
      </c>
      <c r="N70" s="9">
        <f t="shared" si="7"/>
        <v>2.255639097744353</v>
      </c>
      <c r="O70" s="9">
        <f t="shared" si="8"/>
        <v>12.340425531914894</v>
      </c>
    </row>
    <row r="71" spans="1:15" x14ac:dyDescent="0.25">
      <c r="A71">
        <v>1994</v>
      </c>
      <c r="B71" t="s">
        <v>20</v>
      </c>
      <c r="C71" t="s">
        <v>17</v>
      </c>
      <c r="D71" s="1">
        <v>20.100000000000001</v>
      </c>
      <c r="E71" s="1">
        <v>6.7</v>
      </c>
      <c r="F71" s="1">
        <v>13.3</v>
      </c>
      <c r="G71" s="1">
        <v>235</v>
      </c>
      <c r="H71" s="3">
        <v>19.8</v>
      </c>
      <c r="I71" s="3">
        <v>6.9</v>
      </c>
      <c r="J71" s="3">
        <v>13.3</v>
      </c>
      <c r="K71" s="3">
        <v>158</v>
      </c>
      <c r="L71" s="9">
        <f t="shared" si="5"/>
        <v>-1.4925373134328392</v>
      </c>
      <c r="M71" s="9">
        <f t="shared" si="6"/>
        <v>2.9850746268656745</v>
      </c>
      <c r="N71" s="9">
        <f t="shared" si="7"/>
        <v>0</v>
      </c>
      <c r="O71" s="9">
        <f t="shared" si="8"/>
        <v>-32.765957446808507</v>
      </c>
    </row>
    <row r="72" spans="1:15" x14ac:dyDescent="0.25">
      <c r="A72">
        <v>1997</v>
      </c>
      <c r="B72" t="s">
        <v>20</v>
      </c>
      <c r="C72" t="s">
        <v>17</v>
      </c>
      <c r="D72" s="1">
        <v>20.100000000000001</v>
      </c>
      <c r="E72" s="1">
        <v>6.7</v>
      </c>
      <c r="F72" s="1">
        <v>13.3</v>
      </c>
      <c r="G72" s="1">
        <v>235</v>
      </c>
      <c r="H72" s="2">
        <v>18.5</v>
      </c>
      <c r="I72" s="2">
        <v>6.8</v>
      </c>
      <c r="J72" s="2">
        <v>12.6</v>
      </c>
      <c r="K72" s="2">
        <v>354</v>
      </c>
      <c r="L72" s="9">
        <f t="shared" si="5"/>
        <v>-7.9601990049751308</v>
      </c>
      <c r="M72" s="9">
        <f t="shared" si="6"/>
        <v>1.4925373134328304</v>
      </c>
      <c r="N72" s="9">
        <f t="shared" si="7"/>
        <v>-5.2631578947368505</v>
      </c>
      <c r="O72" s="9">
        <f t="shared" si="8"/>
        <v>50.638297872340424</v>
      </c>
    </row>
    <row r="73" spans="1:15" x14ac:dyDescent="0.25">
      <c r="A73">
        <v>2002</v>
      </c>
      <c r="B73" t="s">
        <v>20</v>
      </c>
      <c r="C73" t="s">
        <v>17</v>
      </c>
      <c r="D73" s="1">
        <v>20.100000000000001</v>
      </c>
      <c r="E73" s="1">
        <v>6.7</v>
      </c>
      <c r="F73" s="1">
        <v>13.3</v>
      </c>
      <c r="G73" s="1">
        <v>235</v>
      </c>
      <c r="H73" s="3">
        <v>19.399999999999999</v>
      </c>
      <c r="I73" s="3">
        <v>7.9</v>
      </c>
      <c r="J73" s="3">
        <v>13.6</v>
      </c>
      <c r="K73" s="3">
        <v>442</v>
      </c>
      <c r="L73" s="9">
        <f t="shared" si="5"/>
        <v>-3.4825870646766308</v>
      </c>
      <c r="M73" s="9">
        <f t="shared" si="6"/>
        <v>17.910447761194032</v>
      </c>
      <c r="N73" s="9">
        <f t="shared" si="7"/>
        <v>2.255639097744353</v>
      </c>
      <c r="O73" s="9">
        <f t="shared" si="8"/>
        <v>88.085106382978722</v>
      </c>
    </row>
    <row r="74" spans="1:15" x14ac:dyDescent="0.25">
      <c r="A74">
        <v>2004</v>
      </c>
      <c r="B74" t="s">
        <v>20</v>
      </c>
      <c r="C74" t="s">
        <v>17</v>
      </c>
      <c r="D74" s="1">
        <v>20.100000000000001</v>
      </c>
      <c r="E74" s="1">
        <v>6.7</v>
      </c>
      <c r="F74" s="1">
        <v>13.3</v>
      </c>
      <c r="G74" s="1">
        <v>235</v>
      </c>
      <c r="H74" s="2">
        <v>19.7</v>
      </c>
      <c r="I74" s="2">
        <v>6.5</v>
      </c>
      <c r="J74" s="2">
        <v>13.1</v>
      </c>
      <c r="K74" s="2">
        <v>137</v>
      </c>
      <c r="L74" s="9">
        <f t="shared" si="5"/>
        <v>-1.9900497512437916</v>
      </c>
      <c r="M74" s="9">
        <f t="shared" si="6"/>
        <v>-2.9850746268656745</v>
      </c>
      <c r="N74" s="9">
        <f t="shared" si="7"/>
        <v>-1.5037593984962485</v>
      </c>
      <c r="O74" s="9">
        <f t="shared" si="8"/>
        <v>-41.702127659574465</v>
      </c>
    </row>
    <row r="75" spans="1:15" x14ac:dyDescent="0.25">
      <c r="A75">
        <v>2015</v>
      </c>
      <c r="B75" t="s">
        <v>20</v>
      </c>
      <c r="C75" t="s">
        <v>17</v>
      </c>
      <c r="D75" s="1">
        <v>20.100000000000001</v>
      </c>
      <c r="E75" s="1">
        <v>6.7</v>
      </c>
      <c r="F75" s="1">
        <v>13.3</v>
      </c>
      <c r="G75" s="1">
        <v>235</v>
      </c>
      <c r="H75" s="3">
        <v>19.2</v>
      </c>
      <c r="I75" s="3">
        <v>5.0999999999999996</v>
      </c>
      <c r="J75" s="3">
        <v>12.1</v>
      </c>
      <c r="K75" s="3">
        <v>238</v>
      </c>
      <c r="L75" s="9">
        <f t="shared" si="5"/>
        <v>-4.4776119402985177</v>
      </c>
      <c r="M75" s="9">
        <f t="shared" si="6"/>
        <v>-23.880597014925382</v>
      </c>
      <c r="N75" s="9">
        <f t="shared" si="7"/>
        <v>-9.0225563909774511</v>
      </c>
      <c r="O75" s="9">
        <f t="shared" si="8"/>
        <v>1.2765957446808509</v>
      </c>
    </row>
    <row r="76" spans="1:15" x14ac:dyDescent="0.25">
      <c r="A76">
        <v>2023</v>
      </c>
      <c r="B76" t="s">
        <v>20</v>
      </c>
      <c r="C76" t="s">
        <v>17</v>
      </c>
      <c r="D76" s="1">
        <v>20.100000000000001</v>
      </c>
      <c r="E76" s="1">
        <v>6.7</v>
      </c>
      <c r="F76" s="1">
        <v>13.3</v>
      </c>
      <c r="G76" s="1">
        <v>235</v>
      </c>
      <c r="H76" s="2">
        <v>20.399999999999999</v>
      </c>
      <c r="I76" s="2">
        <v>5.0999999999999996</v>
      </c>
      <c r="J76" s="2">
        <v>12.7</v>
      </c>
      <c r="K76" s="2">
        <v>296</v>
      </c>
      <c r="L76" s="9">
        <f t="shared" si="5"/>
        <v>1.4925373134328215</v>
      </c>
      <c r="M76" s="9">
        <f t="shared" si="6"/>
        <v>-23.880597014925382</v>
      </c>
      <c r="N76" s="9">
        <f t="shared" si="7"/>
        <v>-4.5112781954887318</v>
      </c>
      <c r="O76" s="9">
        <f t="shared" si="8"/>
        <v>25.957446808510635</v>
      </c>
    </row>
    <row r="77" spans="1:15" x14ac:dyDescent="0.25">
      <c r="A77">
        <v>1982</v>
      </c>
      <c r="B77" t="s">
        <v>20</v>
      </c>
      <c r="C77" t="s">
        <v>18</v>
      </c>
      <c r="D77" s="1">
        <v>27.2</v>
      </c>
      <c r="E77" s="1">
        <v>12.9</v>
      </c>
      <c r="F77" s="1">
        <v>20</v>
      </c>
      <c r="G77" s="1">
        <v>285</v>
      </c>
      <c r="H77" s="2">
        <v>27.9</v>
      </c>
      <c r="I77" s="2">
        <v>14</v>
      </c>
      <c r="J77" s="2">
        <v>20.9</v>
      </c>
      <c r="K77" s="2">
        <v>403</v>
      </c>
      <c r="L77" s="9">
        <f t="shared" si="5"/>
        <v>2.5735294117647034</v>
      </c>
      <c r="M77" s="9">
        <f t="shared" si="6"/>
        <v>8.5271317829457338</v>
      </c>
      <c r="N77" s="9">
        <f t="shared" si="7"/>
        <v>4.4999999999999929</v>
      </c>
      <c r="O77" s="9">
        <f t="shared" si="8"/>
        <v>41.403508771929829</v>
      </c>
    </row>
    <row r="78" spans="1:15" x14ac:dyDescent="0.25">
      <c r="A78">
        <v>1987</v>
      </c>
      <c r="B78" t="s">
        <v>20</v>
      </c>
      <c r="C78" t="s">
        <v>18</v>
      </c>
      <c r="D78" s="1">
        <v>27.2</v>
      </c>
      <c r="E78" s="1">
        <v>12.9</v>
      </c>
      <c r="F78" s="1">
        <v>20</v>
      </c>
      <c r="G78" s="1">
        <v>285</v>
      </c>
      <c r="H78" s="3">
        <v>25.3</v>
      </c>
      <c r="I78" s="3">
        <v>12.8</v>
      </c>
      <c r="J78" s="3">
        <v>19.100000000000001</v>
      </c>
      <c r="K78" s="3">
        <v>277</v>
      </c>
      <c r="L78" s="9">
        <f t="shared" si="5"/>
        <v>-6.9852941176470535</v>
      </c>
      <c r="M78" s="9">
        <f t="shared" si="6"/>
        <v>-0.77519379844960956</v>
      </c>
      <c r="N78" s="9">
        <f t="shared" si="7"/>
        <v>-4.4999999999999929</v>
      </c>
      <c r="O78" s="9">
        <f t="shared" si="8"/>
        <v>-2.807017543859649</v>
      </c>
    </row>
    <row r="79" spans="1:15" x14ac:dyDescent="0.25">
      <c r="A79">
        <v>1991</v>
      </c>
      <c r="B79" t="s">
        <v>20</v>
      </c>
      <c r="C79" t="s">
        <v>18</v>
      </c>
      <c r="D79" s="1">
        <v>27.5</v>
      </c>
      <c r="E79" s="1">
        <v>12.6</v>
      </c>
      <c r="F79" s="1">
        <v>19.899999999999999</v>
      </c>
      <c r="G79" s="1">
        <v>263</v>
      </c>
      <c r="H79" s="2">
        <v>26.2</v>
      </c>
      <c r="I79" s="2">
        <v>13.7</v>
      </c>
      <c r="J79" s="2">
        <v>20</v>
      </c>
      <c r="K79" s="2">
        <v>409</v>
      </c>
      <c r="L79" s="9">
        <f t="shared" si="5"/>
        <v>-4.7272727272727302</v>
      </c>
      <c r="M79" s="9">
        <f t="shared" si="6"/>
        <v>8.7301587301587276</v>
      </c>
      <c r="N79" s="9">
        <f t="shared" si="7"/>
        <v>0.50251256281407752</v>
      </c>
      <c r="O79" s="9">
        <f t="shared" si="8"/>
        <v>55.51330798479087</v>
      </c>
    </row>
    <row r="80" spans="1:15" x14ac:dyDescent="0.25">
      <c r="A80">
        <v>1994</v>
      </c>
      <c r="B80" t="s">
        <v>20</v>
      </c>
      <c r="C80" t="s">
        <v>18</v>
      </c>
      <c r="D80" s="1">
        <v>27.5</v>
      </c>
      <c r="E80" s="1">
        <v>12.6</v>
      </c>
      <c r="F80" s="1">
        <v>19.899999999999999</v>
      </c>
      <c r="G80" s="1">
        <v>263</v>
      </c>
      <c r="H80" s="3">
        <v>26.8</v>
      </c>
      <c r="I80" s="3">
        <v>12.6</v>
      </c>
      <c r="J80" s="3">
        <v>19.7</v>
      </c>
      <c r="K80" s="3">
        <v>272</v>
      </c>
      <c r="L80" s="9">
        <f t="shared" ref="L80:L85" si="9">+(H80-D80)/D80*100</f>
        <v>-2.5454545454545427</v>
      </c>
      <c r="M80" s="9">
        <f t="shared" ref="M80:M136" si="10">+(I80-E80)/E80*100</f>
        <v>0</v>
      </c>
      <c r="N80" s="9">
        <f t="shared" ref="N80:N136" si="11">+(J80-F80)/F80*100</f>
        <v>-1.0050251256281373</v>
      </c>
      <c r="O80" s="9">
        <f t="shared" ref="O80:O136" si="12">+(K80-G80)/G80*100</f>
        <v>3.4220532319391634</v>
      </c>
    </row>
    <row r="81" spans="1:15" x14ac:dyDescent="0.25">
      <c r="A81">
        <v>1997</v>
      </c>
      <c r="B81" t="s">
        <v>20</v>
      </c>
      <c r="C81" t="s">
        <v>18</v>
      </c>
      <c r="D81" s="1">
        <v>27.5</v>
      </c>
      <c r="E81" s="1">
        <v>12.6</v>
      </c>
      <c r="F81" s="1">
        <v>19.899999999999999</v>
      </c>
      <c r="G81" s="1">
        <v>263</v>
      </c>
      <c r="H81" s="2">
        <v>24.5</v>
      </c>
      <c r="I81" s="2">
        <v>11.6</v>
      </c>
      <c r="J81" s="2">
        <v>18</v>
      </c>
      <c r="K81" s="2">
        <v>299</v>
      </c>
      <c r="L81" s="9">
        <f t="shared" si="9"/>
        <v>-10.909090909090908</v>
      </c>
      <c r="M81" s="9">
        <f t="shared" si="10"/>
        <v>-7.9365079365079358</v>
      </c>
      <c r="N81" s="9">
        <f t="shared" si="11"/>
        <v>-9.5477386934673305</v>
      </c>
      <c r="O81" s="9">
        <f t="shared" si="12"/>
        <v>13.688212927756654</v>
      </c>
    </row>
    <row r="82" spans="1:15" x14ac:dyDescent="0.25">
      <c r="A82">
        <v>2002</v>
      </c>
      <c r="B82" t="s">
        <v>20</v>
      </c>
      <c r="C82" t="s">
        <v>18</v>
      </c>
      <c r="D82" s="1">
        <v>27.5</v>
      </c>
      <c r="E82" s="1">
        <v>12.6</v>
      </c>
      <c r="F82" s="1">
        <v>19.899999999999999</v>
      </c>
      <c r="G82" s="1">
        <v>263</v>
      </c>
      <c r="H82" s="3">
        <v>26.9</v>
      </c>
      <c r="I82" s="3">
        <v>12.7</v>
      </c>
      <c r="J82" s="3">
        <v>19.8</v>
      </c>
      <c r="K82" s="3">
        <v>260</v>
      </c>
      <c r="L82" s="9">
        <f t="shared" si="9"/>
        <v>-2.181818181818187</v>
      </c>
      <c r="M82" s="9">
        <f t="shared" si="10"/>
        <v>0.79365079365079083</v>
      </c>
      <c r="N82" s="9">
        <f t="shared" si="11"/>
        <v>-0.50251256281405965</v>
      </c>
      <c r="O82" s="9">
        <f t="shared" si="12"/>
        <v>-1.1406844106463878</v>
      </c>
    </row>
    <row r="83" spans="1:15" x14ac:dyDescent="0.25">
      <c r="A83">
        <v>2004</v>
      </c>
      <c r="B83" t="s">
        <v>20</v>
      </c>
      <c r="C83" t="s">
        <v>18</v>
      </c>
      <c r="D83" s="1">
        <v>27.5</v>
      </c>
      <c r="E83" s="1">
        <v>12.6</v>
      </c>
      <c r="F83" s="1">
        <v>19.899999999999999</v>
      </c>
      <c r="G83" s="1">
        <v>263</v>
      </c>
      <c r="H83" s="2">
        <v>27.5</v>
      </c>
      <c r="I83" s="2">
        <v>12.9</v>
      </c>
      <c r="J83" s="2">
        <v>20.2</v>
      </c>
      <c r="K83" s="2">
        <v>234</v>
      </c>
      <c r="L83" s="9">
        <f t="shared" si="9"/>
        <v>0</v>
      </c>
      <c r="M83" s="9">
        <f t="shared" si="10"/>
        <v>2.3809523809523867</v>
      </c>
      <c r="N83" s="9">
        <f t="shared" si="11"/>
        <v>1.5075376884422149</v>
      </c>
      <c r="O83" s="9">
        <f t="shared" si="12"/>
        <v>-11.02661596958175</v>
      </c>
    </row>
    <row r="84" spans="1:15" x14ac:dyDescent="0.25">
      <c r="A84">
        <v>2015</v>
      </c>
      <c r="B84" t="s">
        <v>20</v>
      </c>
      <c r="C84" t="s">
        <v>18</v>
      </c>
      <c r="D84" s="1">
        <v>27.5</v>
      </c>
      <c r="E84" s="1">
        <v>12.6</v>
      </c>
      <c r="F84" s="1">
        <v>19.899999999999999</v>
      </c>
      <c r="G84" s="1">
        <v>263</v>
      </c>
      <c r="H84" s="3">
        <v>28</v>
      </c>
      <c r="I84" s="3">
        <v>13.3</v>
      </c>
      <c r="J84" s="3">
        <v>20.6</v>
      </c>
      <c r="K84" s="3">
        <v>418</v>
      </c>
      <c r="L84" s="9">
        <f t="shared" si="9"/>
        <v>1.8181818181818181</v>
      </c>
      <c r="M84" s="9">
        <f t="shared" si="10"/>
        <v>5.5555555555555642</v>
      </c>
      <c r="N84" s="9">
        <f t="shared" si="11"/>
        <v>3.5175879396985068</v>
      </c>
      <c r="O84" s="9">
        <f t="shared" si="12"/>
        <v>58.935361216730044</v>
      </c>
    </row>
    <row r="85" spans="1:15" x14ac:dyDescent="0.25">
      <c r="A85">
        <v>2023</v>
      </c>
      <c r="B85" t="s">
        <v>20</v>
      </c>
      <c r="C85" t="s">
        <v>18</v>
      </c>
      <c r="D85" s="1">
        <v>27.5</v>
      </c>
      <c r="E85" s="1">
        <v>12.6</v>
      </c>
      <c r="F85" s="1">
        <v>19.899999999999999</v>
      </c>
      <c r="G85" s="1">
        <v>263</v>
      </c>
      <c r="H85" s="2">
        <v>27.7</v>
      </c>
      <c r="I85" s="2">
        <v>13.2</v>
      </c>
      <c r="J85" s="2">
        <v>20.5</v>
      </c>
      <c r="K85" s="2">
        <v>428</v>
      </c>
      <c r="L85" s="9">
        <f t="shared" si="9"/>
        <v>0.72727272727272463</v>
      </c>
      <c r="M85" s="9">
        <f t="shared" si="10"/>
        <v>4.7619047619047592</v>
      </c>
      <c r="N85" s="9">
        <f t="shared" si="11"/>
        <v>3.0150753768844298</v>
      </c>
      <c r="O85" s="9">
        <f t="shared" si="12"/>
        <v>62.737642585551335</v>
      </c>
    </row>
    <row r="86" spans="1:15" x14ac:dyDescent="0.25">
      <c r="A86">
        <v>1987</v>
      </c>
      <c r="B86" t="s">
        <v>22</v>
      </c>
      <c r="C86" t="s">
        <v>3</v>
      </c>
      <c r="D86" s="1">
        <v>14.2</v>
      </c>
      <c r="E86" s="1">
        <v>2.1</v>
      </c>
      <c r="F86" s="1">
        <v>8</v>
      </c>
      <c r="G86" s="1">
        <v>106</v>
      </c>
      <c r="H86" s="2" t="s">
        <v>21</v>
      </c>
      <c r="I86" s="2" t="s">
        <v>21</v>
      </c>
      <c r="J86" s="2" t="s">
        <v>21</v>
      </c>
      <c r="K86" s="2" t="s">
        <v>21</v>
      </c>
      <c r="L86" s="9"/>
      <c r="M86" s="9"/>
      <c r="N86" s="9"/>
      <c r="O86" s="9"/>
    </row>
    <row r="87" spans="1:15" x14ac:dyDescent="0.25">
      <c r="A87">
        <v>1991</v>
      </c>
      <c r="B87" t="s">
        <v>22</v>
      </c>
      <c r="C87" t="s">
        <v>3</v>
      </c>
      <c r="D87" s="1">
        <v>14.1</v>
      </c>
      <c r="E87" s="1">
        <v>2.4</v>
      </c>
      <c r="F87" s="1">
        <v>8</v>
      </c>
      <c r="G87" s="1">
        <v>108</v>
      </c>
      <c r="H87" s="3">
        <v>13.5</v>
      </c>
      <c r="I87" s="3">
        <v>2.2999999999999998</v>
      </c>
      <c r="J87" s="3">
        <v>7.9</v>
      </c>
      <c r="K87" s="3">
        <v>186</v>
      </c>
      <c r="L87" s="9">
        <f t="shared" ref="L87" si="13">+(H87-D87)/D87*100</f>
        <v>-4.2553191489361684</v>
      </c>
      <c r="M87" s="9">
        <f t="shared" si="10"/>
        <v>-4.1666666666666705</v>
      </c>
      <c r="N87" s="9">
        <f t="shared" si="11"/>
        <v>-1.2499999999999956</v>
      </c>
      <c r="O87" s="9">
        <f t="shared" si="12"/>
        <v>72.222222222222214</v>
      </c>
    </row>
    <row r="88" spans="1:15" x14ac:dyDescent="0.25">
      <c r="A88">
        <v>1994</v>
      </c>
      <c r="B88" t="s">
        <v>22</v>
      </c>
      <c r="C88" t="s">
        <v>3</v>
      </c>
      <c r="D88" s="1">
        <v>14.1</v>
      </c>
      <c r="E88" s="1">
        <v>2.4</v>
      </c>
      <c r="F88" s="1">
        <v>8</v>
      </c>
      <c r="G88" s="1">
        <v>108</v>
      </c>
      <c r="H88" s="2">
        <v>14.2</v>
      </c>
      <c r="I88" s="2">
        <v>2.2999999999999998</v>
      </c>
      <c r="J88" s="2">
        <v>8.1999999999999993</v>
      </c>
      <c r="K88" s="2">
        <v>82</v>
      </c>
      <c r="L88" s="9">
        <f>+(H88-D88)/D88*100</f>
        <v>0.70921985815602584</v>
      </c>
      <c r="M88" s="9">
        <f t="shared" si="10"/>
        <v>-4.1666666666666705</v>
      </c>
      <c r="N88" s="9">
        <f t="shared" si="11"/>
        <v>2.4999999999999911</v>
      </c>
      <c r="O88" s="9">
        <f t="shared" si="12"/>
        <v>-24.074074074074073</v>
      </c>
    </row>
    <row r="89" spans="1:15" x14ac:dyDescent="0.25">
      <c r="A89">
        <v>1997</v>
      </c>
      <c r="B89" t="s">
        <v>22</v>
      </c>
      <c r="C89" t="s">
        <v>3</v>
      </c>
      <c r="D89" s="1">
        <v>14.1</v>
      </c>
      <c r="E89" s="1">
        <v>2.4</v>
      </c>
      <c r="F89" s="1">
        <v>8</v>
      </c>
      <c r="G89" s="1">
        <v>108</v>
      </c>
      <c r="H89" s="3">
        <v>14.1</v>
      </c>
      <c r="I89" s="3">
        <v>4.3</v>
      </c>
      <c r="J89" s="3">
        <v>9.1999999999999993</v>
      </c>
      <c r="K89" s="3">
        <v>164</v>
      </c>
      <c r="L89" s="9">
        <f t="shared" ref="L89:L136" si="14">+(H89-D89)/D89*100</f>
        <v>0</v>
      </c>
      <c r="M89" s="9">
        <f t="shared" si="10"/>
        <v>79.166666666666657</v>
      </c>
      <c r="N89" s="9">
        <f t="shared" si="11"/>
        <v>14.999999999999991</v>
      </c>
      <c r="O89" s="9">
        <f t="shared" si="12"/>
        <v>51.851851851851848</v>
      </c>
    </row>
    <row r="90" spans="1:15" x14ac:dyDescent="0.25">
      <c r="A90">
        <v>2002</v>
      </c>
      <c r="B90" t="s">
        <v>22</v>
      </c>
      <c r="C90" t="s">
        <v>3</v>
      </c>
      <c r="D90" s="1">
        <v>14.1</v>
      </c>
      <c r="E90" s="1">
        <v>2.4</v>
      </c>
      <c r="F90" s="1">
        <v>8</v>
      </c>
      <c r="G90" s="1">
        <v>108</v>
      </c>
      <c r="H90" s="2">
        <v>13.1</v>
      </c>
      <c r="I90" s="2">
        <v>2.6</v>
      </c>
      <c r="J90" s="2">
        <v>7.8</v>
      </c>
      <c r="K90" s="2">
        <v>215</v>
      </c>
      <c r="L90" s="9">
        <f t="shared" si="14"/>
        <v>-7.0921985815602842</v>
      </c>
      <c r="M90" s="9">
        <f t="shared" si="10"/>
        <v>8.333333333333341</v>
      </c>
      <c r="N90" s="9">
        <f t="shared" si="11"/>
        <v>-2.5000000000000022</v>
      </c>
      <c r="O90" s="9">
        <f t="shared" si="12"/>
        <v>99.074074074074076</v>
      </c>
    </row>
    <row r="91" spans="1:15" x14ac:dyDescent="0.25">
      <c r="A91">
        <v>2004</v>
      </c>
      <c r="B91" t="s">
        <v>22</v>
      </c>
      <c r="C91" t="s">
        <v>3</v>
      </c>
      <c r="D91" s="1">
        <v>14.1</v>
      </c>
      <c r="E91" s="1">
        <v>2.4</v>
      </c>
      <c r="F91" s="1">
        <v>8</v>
      </c>
      <c r="G91" s="1">
        <v>108</v>
      </c>
      <c r="H91" s="3">
        <v>14.1</v>
      </c>
      <c r="I91" s="3">
        <v>3.6</v>
      </c>
      <c r="J91" s="3">
        <v>8.9</v>
      </c>
      <c r="K91" s="3">
        <v>164</v>
      </c>
      <c r="L91" s="9">
        <f t="shared" si="14"/>
        <v>0</v>
      </c>
      <c r="M91" s="9">
        <f t="shared" si="10"/>
        <v>50.000000000000014</v>
      </c>
      <c r="N91" s="9">
        <f t="shared" si="11"/>
        <v>11.250000000000004</v>
      </c>
      <c r="O91" s="9">
        <f t="shared" si="12"/>
        <v>51.851851851851848</v>
      </c>
    </row>
    <row r="92" spans="1:15" x14ac:dyDescent="0.25">
      <c r="A92">
        <v>2015</v>
      </c>
      <c r="B92" t="s">
        <v>22</v>
      </c>
      <c r="C92" t="s">
        <v>3</v>
      </c>
      <c r="D92" s="1">
        <v>14.1</v>
      </c>
      <c r="E92" s="1">
        <v>2.4</v>
      </c>
      <c r="F92" s="1">
        <v>8</v>
      </c>
      <c r="G92" s="1">
        <v>108</v>
      </c>
      <c r="H92" s="2">
        <v>14.7</v>
      </c>
      <c r="I92" s="2">
        <v>3.6</v>
      </c>
      <c r="J92" s="2">
        <v>9.1</v>
      </c>
      <c r="K92" s="2">
        <v>196</v>
      </c>
      <c r="L92" s="9">
        <f t="shared" si="14"/>
        <v>4.2553191489361684</v>
      </c>
      <c r="M92" s="9">
        <f t="shared" si="10"/>
        <v>50.000000000000014</v>
      </c>
      <c r="N92" s="9">
        <f t="shared" si="11"/>
        <v>13.749999999999996</v>
      </c>
      <c r="O92" s="9">
        <f t="shared" si="12"/>
        <v>81.481481481481481</v>
      </c>
    </row>
    <row r="93" spans="1:15" x14ac:dyDescent="0.25">
      <c r="A93">
        <v>2023</v>
      </c>
      <c r="B93" t="s">
        <v>22</v>
      </c>
      <c r="C93" t="s">
        <v>3</v>
      </c>
      <c r="D93" s="1">
        <v>14.1</v>
      </c>
      <c r="E93" s="1">
        <v>2.4</v>
      </c>
      <c r="F93" s="1">
        <v>8</v>
      </c>
      <c r="G93" s="1">
        <v>108</v>
      </c>
      <c r="H93" s="3">
        <v>14.1</v>
      </c>
      <c r="I93" s="3">
        <v>2.8</v>
      </c>
      <c r="J93" s="3">
        <v>8.5</v>
      </c>
      <c r="K93" s="3">
        <v>154</v>
      </c>
      <c r="L93" s="9">
        <f t="shared" si="14"/>
        <v>0</v>
      </c>
      <c r="M93" s="9">
        <f t="shared" si="10"/>
        <v>16.666666666666664</v>
      </c>
      <c r="N93" s="9">
        <f t="shared" si="11"/>
        <v>6.25</v>
      </c>
      <c r="O93" s="9">
        <f t="shared" si="12"/>
        <v>42.592592592592595</v>
      </c>
    </row>
    <row r="94" spans="1:15" x14ac:dyDescent="0.25">
      <c r="A94">
        <v>1987</v>
      </c>
      <c r="B94" t="s">
        <v>22</v>
      </c>
      <c r="C94" t="s">
        <v>17</v>
      </c>
      <c r="D94" s="1">
        <v>20.6</v>
      </c>
      <c r="E94" s="1">
        <v>7.2</v>
      </c>
      <c r="F94" s="1">
        <v>14</v>
      </c>
      <c r="G94" s="1">
        <v>252</v>
      </c>
      <c r="H94" s="2">
        <v>23.3</v>
      </c>
      <c r="I94" s="2">
        <v>11.4</v>
      </c>
      <c r="J94" s="2">
        <v>17.399999999999999</v>
      </c>
      <c r="K94" s="2">
        <v>117</v>
      </c>
      <c r="L94" s="9">
        <f t="shared" si="14"/>
        <v>13.106796116504851</v>
      </c>
      <c r="M94" s="9">
        <f t="shared" si="10"/>
        <v>58.333333333333336</v>
      </c>
      <c r="N94" s="9">
        <f t="shared" si="11"/>
        <v>24.285714285714274</v>
      </c>
      <c r="O94" s="9">
        <f t="shared" si="12"/>
        <v>-53.571428571428569</v>
      </c>
    </row>
    <row r="95" spans="1:15" x14ac:dyDescent="0.25">
      <c r="A95">
        <v>1991</v>
      </c>
      <c r="B95" t="s">
        <v>22</v>
      </c>
      <c r="C95" t="s">
        <v>17</v>
      </c>
      <c r="D95" s="1">
        <v>20.6</v>
      </c>
      <c r="E95" s="1">
        <v>7.3</v>
      </c>
      <c r="F95" s="1">
        <v>14.1</v>
      </c>
      <c r="G95" s="1">
        <v>245</v>
      </c>
      <c r="H95" s="3">
        <v>20.3</v>
      </c>
      <c r="I95" s="3">
        <v>7.6</v>
      </c>
      <c r="J95" s="3">
        <v>14</v>
      </c>
      <c r="K95" s="3">
        <v>260</v>
      </c>
      <c r="L95" s="9">
        <f t="shared" si="14"/>
        <v>-1.4563106796116538</v>
      </c>
      <c r="M95" s="9">
        <f t="shared" si="10"/>
        <v>4.1095890410958882</v>
      </c>
      <c r="N95" s="9">
        <f t="shared" si="11"/>
        <v>-0.70921985815602584</v>
      </c>
      <c r="O95" s="9">
        <f t="shared" si="12"/>
        <v>6.1224489795918364</v>
      </c>
    </row>
    <row r="96" spans="1:15" x14ac:dyDescent="0.25">
      <c r="A96">
        <v>1994</v>
      </c>
      <c r="B96" t="s">
        <v>22</v>
      </c>
      <c r="C96" t="s">
        <v>17</v>
      </c>
      <c r="D96" s="1">
        <v>20.6</v>
      </c>
      <c r="E96" s="1">
        <v>7.3</v>
      </c>
      <c r="F96" s="1">
        <v>14.1</v>
      </c>
      <c r="G96" s="1">
        <v>245</v>
      </c>
      <c r="H96" s="2">
        <v>20.5</v>
      </c>
      <c r="I96" s="2">
        <v>7.8</v>
      </c>
      <c r="J96" s="2">
        <v>14.1</v>
      </c>
      <c r="K96" s="2">
        <v>177</v>
      </c>
      <c r="L96" s="9">
        <f t="shared" si="14"/>
        <v>-0.48543689320389038</v>
      </c>
      <c r="M96" s="9">
        <f t="shared" si="10"/>
        <v>6.8493150684931505</v>
      </c>
      <c r="N96" s="9">
        <f t="shared" si="11"/>
        <v>0</v>
      </c>
      <c r="O96" s="9">
        <f t="shared" si="12"/>
        <v>-27.755102040816325</v>
      </c>
    </row>
    <row r="97" spans="1:15" x14ac:dyDescent="0.25">
      <c r="A97">
        <v>1997</v>
      </c>
      <c r="B97" t="s">
        <v>22</v>
      </c>
      <c r="C97" t="s">
        <v>17</v>
      </c>
      <c r="D97" s="1">
        <v>20.6</v>
      </c>
      <c r="E97" s="1">
        <v>7.3</v>
      </c>
      <c r="F97" s="1">
        <v>14.1</v>
      </c>
      <c r="G97" s="1">
        <v>245</v>
      </c>
      <c r="H97" s="3">
        <v>19.399999999999999</v>
      </c>
      <c r="I97" s="3">
        <v>7.2</v>
      </c>
      <c r="J97" s="3">
        <v>13.3</v>
      </c>
      <c r="K97" s="3">
        <v>281</v>
      </c>
      <c r="L97" s="9">
        <f t="shared" si="14"/>
        <v>-5.8252427184466153</v>
      </c>
      <c r="M97" s="9">
        <f t="shared" si="10"/>
        <v>-1.3698630136986254</v>
      </c>
      <c r="N97" s="9">
        <f t="shared" si="11"/>
        <v>-5.67375886524822</v>
      </c>
      <c r="O97" s="9">
        <f t="shared" si="12"/>
        <v>14.69387755102041</v>
      </c>
    </row>
    <row r="98" spans="1:15" x14ac:dyDescent="0.25">
      <c r="A98">
        <v>2002</v>
      </c>
      <c r="B98" t="s">
        <v>22</v>
      </c>
      <c r="C98" t="s">
        <v>17</v>
      </c>
      <c r="D98" s="1">
        <v>20.6</v>
      </c>
      <c r="E98" s="1">
        <v>7.3</v>
      </c>
      <c r="F98" s="1">
        <v>14.1</v>
      </c>
      <c r="G98" s="1">
        <v>245</v>
      </c>
      <c r="H98" s="2">
        <v>20.100000000000001</v>
      </c>
      <c r="I98" s="2">
        <v>8.5</v>
      </c>
      <c r="J98" s="2">
        <v>14.3</v>
      </c>
      <c r="K98" s="2">
        <v>358</v>
      </c>
      <c r="L98" s="9">
        <f t="shared" si="14"/>
        <v>-2.4271844660194173</v>
      </c>
      <c r="M98" s="9">
        <f t="shared" si="10"/>
        <v>16.438356164383563</v>
      </c>
      <c r="N98" s="9">
        <f t="shared" si="11"/>
        <v>1.4184397163120643</v>
      </c>
      <c r="O98" s="9">
        <f t="shared" si="12"/>
        <v>46.122448979591837</v>
      </c>
    </row>
    <row r="99" spans="1:15" x14ac:dyDescent="0.25">
      <c r="A99">
        <v>2004</v>
      </c>
      <c r="B99" t="s">
        <v>22</v>
      </c>
      <c r="C99" t="s">
        <v>17</v>
      </c>
      <c r="D99" s="1">
        <v>20.6</v>
      </c>
      <c r="E99" s="1">
        <v>7.3</v>
      </c>
      <c r="F99" s="1">
        <v>14.1</v>
      </c>
      <c r="G99" s="1">
        <v>245</v>
      </c>
      <c r="H99" s="3">
        <v>20.399999999999999</v>
      </c>
      <c r="I99" s="3">
        <v>7.5</v>
      </c>
      <c r="J99" s="3">
        <v>14</v>
      </c>
      <c r="K99" s="3">
        <v>171</v>
      </c>
      <c r="L99" s="9">
        <f t="shared" si="14"/>
        <v>-0.97087378640778077</v>
      </c>
      <c r="M99" s="9">
        <f t="shared" si="10"/>
        <v>2.7397260273972628</v>
      </c>
      <c r="N99" s="9">
        <f t="shared" si="11"/>
        <v>-0.70921985815602584</v>
      </c>
      <c r="O99" s="9">
        <f t="shared" si="12"/>
        <v>-30.204081632653061</v>
      </c>
    </row>
    <row r="100" spans="1:15" x14ac:dyDescent="0.25">
      <c r="A100">
        <v>2015</v>
      </c>
      <c r="B100" t="s">
        <v>22</v>
      </c>
      <c r="C100" t="s">
        <v>17</v>
      </c>
      <c r="D100" s="1">
        <v>20.6</v>
      </c>
      <c r="E100" s="1">
        <v>7.3</v>
      </c>
      <c r="F100" s="1">
        <v>14.1</v>
      </c>
      <c r="G100" s="1">
        <v>245</v>
      </c>
      <c r="H100" s="2">
        <v>19.100000000000001</v>
      </c>
      <c r="I100" s="2">
        <v>6.1</v>
      </c>
      <c r="J100" s="2">
        <v>12.6</v>
      </c>
      <c r="K100" s="2">
        <v>130</v>
      </c>
      <c r="L100" s="9">
        <f t="shared" si="14"/>
        <v>-7.2815533980582519</v>
      </c>
      <c r="M100" s="9">
        <f t="shared" si="10"/>
        <v>-16.438356164383563</v>
      </c>
      <c r="N100" s="9">
        <f t="shared" si="11"/>
        <v>-10.638297872340425</v>
      </c>
      <c r="O100" s="9">
        <f t="shared" si="12"/>
        <v>-46.938775510204081</v>
      </c>
    </row>
    <row r="101" spans="1:15" x14ac:dyDescent="0.25">
      <c r="A101">
        <v>2023</v>
      </c>
      <c r="B101" t="s">
        <v>22</v>
      </c>
      <c r="C101" t="s">
        <v>17</v>
      </c>
      <c r="D101" s="1">
        <v>20.6</v>
      </c>
      <c r="E101" s="1">
        <v>7.3</v>
      </c>
      <c r="F101" s="1">
        <v>14.1</v>
      </c>
      <c r="G101" s="1">
        <v>245</v>
      </c>
      <c r="H101" s="3">
        <v>20.8</v>
      </c>
      <c r="I101" s="3">
        <v>7.1</v>
      </c>
      <c r="J101" s="3">
        <v>13.9</v>
      </c>
      <c r="K101" s="3">
        <v>336</v>
      </c>
      <c r="L101" s="9">
        <f t="shared" si="14"/>
        <v>0.97087378640776345</v>
      </c>
      <c r="M101" s="9">
        <f t="shared" si="10"/>
        <v>-2.7397260273972628</v>
      </c>
      <c r="N101" s="9">
        <f t="shared" si="11"/>
        <v>-1.4184397163120517</v>
      </c>
      <c r="O101" s="9">
        <f t="shared" si="12"/>
        <v>37.142857142857146</v>
      </c>
    </row>
    <row r="102" spans="1:15" x14ac:dyDescent="0.25">
      <c r="A102">
        <v>1987</v>
      </c>
      <c r="B102" t="s">
        <v>22</v>
      </c>
      <c r="C102" t="s">
        <v>18</v>
      </c>
      <c r="D102" s="1">
        <v>27.9</v>
      </c>
      <c r="E102" s="1">
        <v>13.1</v>
      </c>
      <c r="F102" s="1">
        <v>20.399999999999999</v>
      </c>
      <c r="G102" s="1">
        <v>304</v>
      </c>
      <c r="H102" s="2">
        <v>27.2</v>
      </c>
      <c r="I102" s="2">
        <v>12.2</v>
      </c>
      <c r="J102" s="2">
        <v>19.7</v>
      </c>
      <c r="K102" s="2">
        <v>250</v>
      </c>
      <c r="L102" s="9">
        <f t="shared" si="14"/>
        <v>-2.5089605734767</v>
      </c>
      <c r="M102" s="9">
        <f t="shared" si="10"/>
        <v>-6.8702290076335908</v>
      </c>
      <c r="N102" s="9">
        <f t="shared" si="11"/>
        <v>-3.4313725490196045</v>
      </c>
      <c r="O102" s="9">
        <f t="shared" si="12"/>
        <v>-17.763157894736842</v>
      </c>
    </row>
    <row r="103" spans="1:15" x14ac:dyDescent="0.25">
      <c r="A103">
        <v>1991</v>
      </c>
      <c r="B103" t="s">
        <v>22</v>
      </c>
      <c r="C103" t="s">
        <v>18</v>
      </c>
      <c r="D103" s="1">
        <v>28.1</v>
      </c>
      <c r="E103" s="1">
        <v>13.5</v>
      </c>
      <c r="F103" s="1">
        <v>20.8</v>
      </c>
      <c r="G103" s="1">
        <v>278</v>
      </c>
      <c r="H103" s="3">
        <v>26.8</v>
      </c>
      <c r="I103" s="3">
        <v>13.9</v>
      </c>
      <c r="J103" s="3">
        <v>20.399999999999999</v>
      </c>
      <c r="K103" s="3">
        <v>660</v>
      </c>
      <c r="L103" s="9">
        <f t="shared" si="14"/>
        <v>-4.6263345195729562</v>
      </c>
      <c r="M103" s="9">
        <f t="shared" si="10"/>
        <v>2.9629629629629655</v>
      </c>
      <c r="N103" s="9">
        <f t="shared" si="11"/>
        <v>-1.9230769230769333</v>
      </c>
      <c r="O103" s="9">
        <f t="shared" si="12"/>
        <v>137.41007194244602</v>
      </c>
    </row>
    <row r="104" spans="1:15" x14ac:dyDescent="0.25">
      <c r="A104">
        <v>1994</v>
      </c>
      <c r="B104" t="s">
        <v>22</v>
      </c>
      <c r="C104" t="s">
        <v>18</v>
      </c>
      <c r="D104" s="1">
        <v>28.1</v>
      </c>
      <c r="E104" s="1">
        <v>13.5</v>
      </c>
      <c r="F104" s="1">
        <v>20.8</v>
      </c>
      <c r="G104" s="1">
        <v>278</v>
      </c>
      <c r="H104" s="2">
        <v>28</v>
      </c>
      <c r="I104" s="2">
        <v>13.5</v>
      </c>
      <c r="J104" s="2">
        <v>20.8</v>
      </c>
      <c r="K104" s="2">
        <v>245</v>
      </c>
      <c r="L104" s="9">
        <f t="shared" si="14"/>
        <v>-0.35587188612100151</v>
      </c>
      <c r="M104" s="9">
        <f t="shared" si="10"/>
        <v>0</v>
      </c>
      <c r="N104" s="9">
        <f t="shared" si="11"/>
        <v>0</v>
      </c>
      <c r="O104" s="9">
        <f t="shared" si="12"/>
        <v>-11.870503597122301</v>
      </c>
    </row>
    <row r="105" spans="1:15" x14ac:dyDescent="0.25">
      <c r="A105">
        <v>1997</v>
      </c>
      <c r="B105" t="s">
        <v>22</v>
      </c>
      <c r="C105" t="s">
        <v>18</v>
      </c>
      <c r="D105" s="1">
        <v>28.1</v>
      </c>
      <c r="E105" s="1">
        <v>13.5</v>
      </c>
      <c r="F105" s="1">
        <v>20.8</v>
      </c>
      <c r="G105" s="1">
        <v>278</v>
      </c>
      <c r="H105" s="3">
        <v>25.3</v>
      </c>
      <c r="I105" s="3">
        <v>12</v>
      </c>
      <c r="J105" s="3">
        <v>18.600000000000001</v>
      </c>
      <c r="K105" s="3">
        <v>410</v>
      </c>
      <c r="L105" s="9">
        <f t="shared" si="14"/>
        <v>-9.9644128113879038</v>
      </c>
      <c r="M105" s="9">
        <f t="shared" si="10"/>
        <v>-11.111111111111111</v>
      </c>
      <c r="N105" s="9">
        <f t="shared" si="11"/>
        <v>-10.576923076923073</v>
      </c>
      <c r="O105" s="9">
        <f t="shared" si="12"/>
        <v>47.482014388489205</v>
      </c>
    </row>
    <row r="106" spans="1:15" x14ac:dyDescent="0.25">
      <c r="A106">
        <v>2002</v>
      </c>
      <c r="B106" t="s">
        <v>22</v>
      </c>
      <c r="C106" t="s">
        <v>18</v>
      </c>
      <c r="D106" s="1">
        <v>28.1</v>
      </c>
      <c r="E106" s="1">
        <v>13.5</v>
      </c>
      <c r="F106" s="1">
        <v>20.8</v>
      </c>
      <c r="G106" s="1">
        <v>278</v>
      </c>
      <c r="H106" s="2">
        <v>28.2</v>
      </c>
      <c r="I106" s="2">
        <v>13.3</v>
      </c>
      <c r="J106" s="2">
        <v>20.7</v>
      </c>
      <c r="K106" s="2">
        <v>199</v>
      </c>
      <c r="L106" s="9">
        <f t="shared" si="14"/>
        <v>0.35587188612098886</v>
      </c>
      <c r="M106" s="9">
        <f t="shared" si="10"/>
        <v>-1.4814814814814761</v>
      </c>
      <c r="N106" s="9">
        <f t="shared" si="11"/>
        <v>-0.48076923076923755</v>
      </c>
      <c r="O106" s="9">
        <f t="shared" si="12"/>
        <v>-28.417266187050359</v>
      </c>
    </row>
    <row r="107" spans="1:15" x14ac:dyDescent="0.25">
      <c r="A107">
        <v>2004</v>
      </c>
      <c r="B107" t="s">
        <v>22</v>
      </c>
      <c r="C107" t="s">
        <v>18</v>
      </c>
      <c r="D107" s="1">
        <v>28.1</v>
      </c>
      <c r="E107" s="1">
        <v>13.5</v>
      </c>
      <c r="F107" s="1">
        <v>20.8</v>
      </c>
      <c r="G107" s="1">
        <v>278</v>
      </c>
      <c r="H107" s="3">
        <v>27.8</v>
      </c>
      <c r="I107" s="3">
        <v>14.4</v>
      </c>
      <c r="J107" s="3">
        <v>21.1</v>
      </c>
      <c r="K107" s="3">
        <v>280</v>
      </c>
      <c r="L107" s="9">
        <f t="shared" si="14"/>
        <v>-1.0676156583629919</v>
      </c>
      <c r="M107" s="9">
        <f t="shared" si="10"/>
        <v>6.6666666666666696</v>
      </c>
      <c r="N107" s="9">
        <f t="shared" si="11"/>
        <v>1.4423076923076956</v>
      </c>
      <c r="O107" s="9">
        <f t="shared" si="12"/>
        <v>0.71942446043165476</v>
      </c>
    </row>
    <row r="108" spans="1:15" x14ac:dyDescent="0.25">
      <c r="A108">
        <v>2015</v>
      </c>
      <c r="B108" t="s">
        <v>22</v>
      </c>
      <c r="C108" t="s">
        <v>18</v>
      </c>
      <c r="D108" s="1">
        <v>28.1</v>
      </c>
      <c r="E108" s="1">
        <v>13.5</v>
      </c>
      <c r="F108" s="1">
        <v>20.8</v>
      </c>
      <c r="G108" s="1">
        <v>278</v>
      </c>
      <c r="H108" s="2">
        <v>28.4</v>
      </c>
      <c r="I108" s="2">
        <v>14.5</v>
      </c>
      <c r="J108" s="2">
        <v>21.4</v>
      </c>
      <c r="K108" s="2">
        <v>332</v>
      </c>
      <c r="L108" s="9">
        <f t="shared" si="14"/>
        <v>1.0676156583629792</v>
      </c>
      <c r="M108" s="9">
        <f t="shared" si="10"/>
        <v>7.4074074074074066</v>
      </c>
      <c r="N108" s="9">
        <f t="shared" si="11"/>
        <v>2.8846153846153744</v>
      </c>
      <c r="O108" s="9">
        <f t="shared" si="12"/>
        <v>19.424460431654676</v>
      </c>
    </row>
    <row r="109" spans="1:15" x14ac:dyDescent="0.25">
      <c r="A109">
        <v>2023</v>
      </c>
      <c r="B109" t="s">
        <v>22</v>
      </c>
      <c r="C109" t="s">
        <v>18</v>
      </c>
      <c r="D109" s="1">
        <v>28.1</v>
      </c>
      <c r="E109" s="1">
        <v>13.5</v>
      </c>
      <c r="F109" s="1">
        <v>20.8</v>
      </c>
      <c r="G109" s="1">
        <v>278</v>
      </c>
      <c r="H109" s="3">
        <v>28.1</v>
      </c>
      <c r="I109" s="3">
        <v>14.2</v>
      </c>
      <c r="J109" s="3">
        <v>21.2</v>
      </c>
      <c r="K109" s="3">
        <v>444</v>
      </c>
      <c r="L109" s="9">
        <f t="shared" si="14"/>
        <v>0</v>
      </c>
      <c r="M109" s="9">
        <f t="shared" si="10"/>
        <v>5.1851851851851798</v>
      </c>
      <c r="N109" s="9">
        <f t="shared" si="11"/>
        <v>1.9230769230769162</v>
      </c>
      <c r="O109" s="9">
        <f t="shared" si="12"/>
        <v>59.712230215827333</v>
      </c>
    </row>
    <row r="110" spans="1:15" x14ac:dyDescent="0.25">
      <c r="A110">
        <v>1982</v>
      </c>
      <c r="B110" t="s">
        <v>23</v>
      </c>
      <c r="C110" t="s">
        <v>3</v>
      </c>
      <c r="D110" s="6">
        <v>14.2</v>
      </c>
      <c r="E110" s="6">
        <v>2.5</v>
      </c>
      <c r="F110" s="6">
        <v>8.1</v>
      </c>
      <c r="G110" s="6">
        <v>84</v>
      </c>
      <c r="H110" s="7">
        <v>13</v>
      </c>
      <c r="I110" s="7">
        <v>3</v>
      </c>
      <c r="J110" s="7">
        <v>8</v>
      </c>
      <c r="K110" s="7">
        <v>59</v>
      </c>
      <c r="L110" s="9">
        <f t="shared" si="14"/>
        <v>-8.4507042253521085</v>
      </c>
      <c r="M110" s="9">
        <f t="shared" si="10"/>
        <v>20</v>
      </c>
      <c r="N110" s="9">
        <f t="shared" si="11"/>
        <v>-1.2345679012345634</v>
      </c>
      <c r="O110" s="9">
        <f t="shared" si="12"/>
        <v>-29.761904761904763</v>
      </c>
    </row>
    <row r="111" spans="1:15" x14ac:dyDescent="0.25">
      <c r="A111">
        <v>1987</v>
      </c>
      <c r="B111" t="s">
        <v>23</v>
      </c>
      <c r="C111" t="s">
        <v>3</v>
      </c>
      <c r="D111" s="6">
        <v>14.2</v>
      </c>
      <c r="E111" s="6">
        <v>2.5</v>
      </c>
      <c r="F111" s="6">
        <v>8.1</v>
      </c>
      <c r="G111" s="6">
        <v>84</v>
      </c>
      <c r="H111" s="8">
        <v>14.1</v>
      </c>
      <c r="I111" s="8">
        <v>3.4</v>
      </c>
      <c r="J111" s="8">
        <v>8.8000000000000007</v>
      </c>
      <c r="K111" s="8">
        <v>221</v>
      </c>
      <c r="L111" s="9">
        <f t="shared" si="14"/>
        <v>-0.70422535211267356</v>
      </c>
      <c r="M111" s="9">
        <f t="shared" si="10"/>
        <v>36</v>
      </c>
      <c r="N111" s="9">
        <f t="shared" si="11"/>
        <v>8.6419753086419888</v>
      </c>
      <c r="O111" s="9">
        <f t="shared" si="12"/>
        <v>163.0952380952381</v>
      </c>
    </row>
    <row r="112" spans="1:15" x14ac:dyDescent="0.25">
      <c r="A112">
        <v>1991</v>
      </c>
      <c r="B112" t="s">
        <v>23</v>
      </c>
      <c r="C112" t="s">
        <v>3</v>
      </c>
      <c r="D112" s="6">
        <v>14.2</v>
      </c>
      <c r="E112" s="6">
        <v>2.4</v>
      </c>
      <c r="F112" s="6">
        <v>8.1999999999999993</v>
      </c>
      <c r="G112" s="6">
        <v>125</v>
      </c>
      <c r="H112" s="7">
        <v>13.6</v>
      </c>
      <c r="I112" s="7">
        <v>2.6</v>
      </c>
      <c r="J112" s="7">
        <v>8.1</v>
      </c>
      <c r="K112" s="7">
        <v>176</v>
      </c>
      <c r="L112" s="9">
        <f t="shared" si="14"/>
        <v>-4.2253521126760543</v>
      </c>
      <c r="M112" s="9">
        <f t="shared" si="10"/>
        <v>8.333333333333341</v>
      </c>
      <c r="N112" s="9">
        <f t="shared" si="11"/>
        <v>-1.219512195121947</v>
      </c>
      <c r="O112" s="9">
        <f t="shared" si="12"/>
        <v>40.799999999999997</v>
      </c>
    </row>
    <row r="113" spans="1:15" x14ac:dyDescent="0.25">
      <c r="A113">
        <v>1994</v>
      </c>
      <c r="B113" t="s">
        <v>23</v>
      </c>
      <c r="C113" t="s">
        <v>3</v>
      </c>
      <c r="D113" s="6">
        <v>14.2</v>
      </c>
      <c r="E113" s="6">
        <v>2.4</v>
      </c>
      <c r="F113" s="6">
        <v>8.1999999999999993</v>
      </c>
      <c r="G113" s="6">
        <v>125</v>
      </c>
      <c r="H113" s="8">
        <v>14.4</v>
      </c>
      <c r="I113" s="8">
        <v>2.1</v>
      </c>
      <c r="J113" s="8">
        <v>8.3000000000000007</v>
      </c>
      <c r="K113" s="8">
        <v>78</v>
      </c>
      <c r="L113" s="9">
        <f t="shared" si="14"/>
        <v>1.4084507042253596</v>
      </c>
      <c r="M113" s="9">
        <f t="shared" si="10"/>
        <v>-12.499999999999993</v>
      </c>
      <c r="N113" s="9">
        <f t="shared" si="11"/>
        <v>1.2195121951219685</v>
      </c>
      <c r="O113" s="9">
        <f t="shared" si="12"/>
        <v>-37.6</v>
      </c>
    </row>
    <row r="114" spans="1:15" x14ac:dyDescent="0.25">
      <c r="A114">
        <v>1997</v>
      </c>
      <c r="B114" t="s">
        <v>23</v>
      </c>
      <c r="C114" t="s">
        <v>3</v>
      </c>
      <c r="D114" s="6">
        <v>14.2</v>
      </c>
      <c r="E114" s="6">
        <v>2.4</v>
      </c>
      <c r="F114" s="6">
        <v>8.1999999999999993</v>
      </c>
      <c r="G114" s="6">
        <v>125</v>
      </c>
      <c r="H114" s="7">
        <v>14.3</v>
      </c>
      <c r="I114" s="7">
        <v>4.3</v>
      </c>
      <c r="J114" s="7">
        <v>9.3000000000000007</v>
      </c>
      <c r="K114" s="7">
        <v>214</v>
      </c>
      <c r="L114" s="9">
        <f t="shared" si="14"/>
        <v>0.70422535211268611</v>
      </c>
      <c r="M114" s="9">
        <f t="shared" si="10"/>
        <v>79.166666666666657</v>
      </c>
      <c r="N114" s="9">
        <f t="shared" si="11"/>
        <v>13.414634146341481</v>
      </c>
      <c r="O114" s="9">
        <f t="shared" si="12"/>
        <v>71.2</v>
      </c>
    </row>
    <row r="115" spans="1:15" x14ac:dyDescent="0.25">
      <c r="A115">
        <v>2002</v>
      </c>
      <c r="B115" t="s">
        <v>23</v>
      </c>
      <c r="C115" t="s">
        <v>3</v>
      </c>
      <c r="D115" s="6">
        <v>14.2</v>
      </c>
      <c r="E115" s="6">
        <v>2.4</v>
      </c>
      <c r="F115" s="6">
        <v>8.1999999999999993</v>
      </c>
      <c r="G115" s="6">
        <v>125</v>
      </c>
      <c r="H115" s="8">
        <v>13.5</v>
      </c>
      <c r="I115" s="8">
        <v>2.9</v>
      </c>
      <c r="J115" s="8">
        <v>8.1999999999999993</v>
      </c>
      <c r="K115" s="8">
        <v>192</v>
      </c>
      <c r="L115" s="9">
        <f t="shared" si="14"/>
        <v>-4.9295774647887276</v>
      </c>
      <c r="M115" s="9">
        <f t="shared" si="10"/>
        <v>20.833333333333336</v>
      </c>
      <c r="N115" s="9">
        <f t="shared" si="11"/>
        <v>0</v>
      </c>
      <c r="O115" s="9">
        <f t="shared" si="12"/>
        <v>53.6</v>
      </c>
    </row>
    <row r="116" spans="1:15" x14ac:dyDescent="0.25">
      <c r="A116">
        <v>2004</v>
      </c>
      <c r="B116" t="s">
        <v>23</v>
      </c>
      <c r="C116" t="s">
        <v>3</v>
      </c>
      <c r="D116" s="6">
        <v>14.2</v>
      </c>
      <c r="E116" s="6">
        <v>2.4</v>
      </c>
      <c r="F116" s="6">
        <v>8.1999999999999993</v>
      </c>
      <c r="G116" s="6">
        <v>125</v>
      </c>
      <c r="H116" s="7">
        <v>14.4</v>
      </c>
      <c r="I116" s="7">
        <v>3</v>
      </c>
      <c r="J116" s="7">
        <v>8.6999999999999993</v>
      </c>
      <c r="K116" s="7">
        <v>228</v>
      </c>
      <c r="L116" s="9">
        <f t="shared" si="14"/>
        <v>1.4084507042253596</v>
      </c>
      <c r="M116" s="9">
        <f t="shared" si="10"/>
        <v>25.000000000000007</v>
      </c>
      <c r="N116" s="9">
        <f t="shared" si="11"/>
        <v>6.0975609756097571</v>
      </c>
      <c r="O116" s="9">
        <f t="shared" si="12"/>
        <v>82.399999999999991</v>
      </c>
    </row>
    <row r="117" spans="1:15" x14ac:dyDescent="0.25">
      <c r="A117">
        <v>2015</v>
      </c>
      <c r="B117" t="s">
        <v>23</v>
      </c>
      <c r="C117" t="s">
        <v>3</v>
      </c>
      <c r="D117" s="6">
        <v>14.2</v>
      </c>
      <c r="E117" s="6">
        <v>2.4</v>
      </c>
      <c r="F117" s="6">
        <v>8.1999999999999993</v>
      </c>
      <c r="G117" s="6">
        <v>125</v>
      </c>
      <c r="H117" s="8">
        <v>15.2</v>
      </c>
      <c r="I117" s="8">
        <v>4</v>
      </c>
      <c r="J117" s="8">
        <v>9.6</v>
      </c>
      <c r="K117" s="8">
        <v>195</v>
      </c>
      <c r="L117" s="9">
        <f t="shared" si="14"/>
        <v>7.042253521126761</v>
      </c>
      <c r="M117" s="9">
        <f t="shared" si="10"/>
        <v>66.666666666666671</v>
      </c>
      <c r="N117" s="9">
        <f t="shared" si="11"/>
        <v>17.073170731707325</v>
      </c>
      <c r="O117" s="9">
        <f t="shared" si="12"/>
        <v>56.000000000000007</v>
      </c>
    </row>
    <row r="118" spans="1:15" x14ac:dyDescent="0.25">
      <c r="A118">
        <v>2023</v>
      </c>
      <c r="B118" t="s">
        <v>23</v>
      </c>
      <c r="C118" t="s">
        <v>3</v>
      </c>
      <c r="D118" s="6">
        <v>14.2</v>
      </c>
      <c r="E118" s="6">
        <v>2.4</v>
      </c>
      <c r="F118" s="6">
        <v>8.1999999999999993</v>
      </c>
      <c r="G118" s="6">
        <v>125</v>
      </c>
      <c r="H118" s="7">
        <v>14.2</v>
      </c>
      <c r="I118" s="7">
        <v>2.8</v>
      </c>
      <c r="J118" s="7">
        <v>8.5</v>
      </c>
      <c r="K118" s="7">
        <v>106</v>
      </c>
      <c r="L118" s="9">
        <f t="shared" si="14"/>
        <v>0</v>
      </c>
      <c r="M118" s="9">
        <f t="shared" si="10"/>
        <v>16.666666666666664</v>
      </c>
      <c r="N118" s="9">
        <f t="shared" si="11"/>
        <v>3.6585365853658622</v>
      </c>
      <c r="O118" s="9">
        <f t="shared" si="12"/>
        <v>-15.2</v>
      </c>
    </row>
    <row r="119" spans="1:15" x14ac:dyDescent="0.25">
      <c r="A119">
        <v>1982</v>
      </c>
      <c r="B119" t="s">
        <v>23</v>
      </c>
      <c r="C119" t="s">
        <v>17</v>
      </c>
      <c r="D119" s="6">
        <v>20.6</v>
      </c>
      <c r="E119" s="6">
        <v>7.3</v>
      </c>
      <c r="F119" s="6">
        <v>14.1</v>
      </c>
      <c r="G119" s="6">
        <v>234</v>
      </c>
      <c r="H119" s="7">
        <v>19.8</v>
      </c>
      <c r="I119" s="7">
        <v>7.6</v>
      </c>
      <c r="J119" s="7">
        <v>13.7</v>
      </c>
      <c r="K119" s="7">
        <v>358</v>
      </c>
      <c r="L119" s="9">
        <f t="shared" si="14"/>
        <v>-3.8834951456310711</v>
      </c>
      <c r="M119" s="9">
        <f t="shared" si="10"/>
        <v>4.1095890410958882</v>
      </c>
      <c r="N119" s="9">
        <f t="shared" si="11"/>
        <v>-2.8368794326241162</v>
      </c>
      <c r="O119" s="9">
        <f t="shared" si="12"/>
        <v>52.991452991452995</v>
      </c>
    </row>
    <row r="120" spans="1:15" x14ac:dyDescent="0.25">
      <c r="A120">
        <v>1987</v>
      </c>
      <c r="B120" t="s">
        <v>23</v>
      </c>
      <c r="C120" t="s">
        <v>17</v>
      </c>
      <c r="D120" s="6">
        <v>20.6</v>
      </c>
      <c r="E120" s="6">
        <v>7.3</v>
      </c>
      <c r="F120" s="6">
        <v>14.1</v>
      </c>
      <c r="G120" s="6">
        <v>234</v>
      </c>
      <c r="H120" s="8">
        <v>19.899999999999999</v>
      </c>
      <c r="I120" s="8">
        <v>7.8</v>
      </c>
      <c r="J120" s="8">
        <v>13.9</v>
      </c>
      <c r="K120" s="8">
        <v>222</v>
      </c>
      <c r="L120" s="9">
        <f t="shared" si="14"/>
        <v>-3.3980582524271981</v>
      </c>
      <c r="M120" s="9">
        <f t="shared" si="10"/>
        <v>6.8493150684931505</v>
      </c>
      <c r="N120" s="9">
        <f t="shared" si="11"/>
        <v>-1.4184397163120517</v>
      </c>
      <c r="O120" s="9">
        <f t="shared" si="12"/>
        <v>-5.1282051282051277</v>
      </c>
    </row>
    <row r="121" spans="1:15" x14ac:dyDescent="0.25">
      <c r="A121">
        <v>1991</v>
      </c>
      <c r="B121" t="s">
        <v>23</v>
      </c>
      <c r="C121" t="s">
        <v>17</v>
      </c>
      <c r="D121" s="6">
        <v>20.9</v>
      </c>
      <c r="E121" s="6">
        <v>7.1</v>
      </c>
      <c r="F121" s="6">
        <v>14.1</v>
      </c>
      <c r="G121" s="6">
        <v>238</v>
      </c>
      <c r="H121" s="7">
        <v>20.399999999999999</v>
      </c>
      <c r="I121" s="7">
        <v>8.1</v>
      </c>
      <c r="J121" s="7">
        <v>14.3</v>
      </c>
      <c r="K121" s="7">
        <v>222</v>
      </c>
      <c r="L121" s="9">
        <f t="shared" si="14"/>
        <v>-2.3923444976076556</v>
      </c>
      <c r="M121" s="9">
        <f t="shared" si="10"/>
        <v>14.084507042253522</v>
      </c>
      <c r="N121" s="9">
        <f t="shared" si="11"/>
        <v>1.4184397163120643</v>
      </c>
      <c r="O121" s="9">
        <f t="shared" si="12"/>
        <v>-6.7226890756302522</v>
      </c>
    </row>
    <row r="122" spans="1:15" x14ac:dyDescent="0.25">
      <c r="A122">
        <v>1994</v>
      </c>
      <c r="B122" t="s">
        <v>23</v>
      </c>
      <c r="C122" t="s">
        <v>17</v>
      </c>
      <c r="D122" s="6">
        <v>20.9</v>
      </c>
      <c r="E122" s="6">
        <v>7.1</v>
      </c>
      <c r="F122" s="6">
        <v>14.1</v>
      </c>
      <c r="G122" s="6">
        <v>238</v>
      </c>
      <c r="H122" s="8">
        <v>20.7</v>
      </c>
      <c r="I122" s="8">
        <v>8.1999999999999993</v>
      </c>
      <c r="J122" s="8">
        <v>14.5</v>
      </c>
      <c r="K122" s="8">
        <v>280</v>
      </c>
      <c r="L122" s="9">
        <f t="shared" si="14"/>
        <v>-0.95693779904305887</v>
      </c>
      <c r="M122" s="9">
        <f t="shared" si="10"/>
        <v>15.492957746478869</v>
      </c>
      <c r="N122" s="9">
        <f t="shared" si="11"/>
        <v>2.8368794326241162</v>
      </c>
      <c r="O122" s="9">
        <f t="shared" si="12"/>
        <v>17.647058823529413</v>
      </c>
    </row>
    <row r="123" spans="1:15" x14ac:dyDescent="0.25">
      <c r="A123">
        <v>1997</v>
      </c>
      <c r="B123" t="s">
        <v>23</v>
      </c>
      <c r="C123" t="s">
        <v>17</v>
      </c>
      <c r="D123" s="6">
        <v>20.9</v>
      </c>
      <c r="E123" s="6">
        <v>7.1</v>
      </c>
      <c r="F123" s="6">
        <v>14.1</v>
      </c>
      <c r="G123" s="6">
        <v>238</v>
      </c>
      <c r="H123" s="7">
        <v>19.5</v>
      </c>
      <c r="I123" s="7">
        <v>7.1</v>
      </c>
      <c r="J123" s="7">
        <v>13.3</v>
      </c>
      <c r="K123" s="7">
        <v>325</v>
      </c>
      <c r="L123" s="9">
        <f t="shared" si="14"/>
        <v>-6.6985645933014286</v>
      </c>
      <c r="M123" s="9">
        <f t="shared" si="10"/>
        <v>0</v>
      </c>
      <c r="N123" s="9">
        <f t="shared" si="11"/>
        <v>-5.67375886524822</v>
      </c>
      <c r="O123" s="9">
        <f t="shared" si="12"/>
        <v>36.554621848739494</v>
      </c>
    </row>
    <row r="124" spans="1:15" x14ac:dyDescent="0.25">
      <c r="A124">
        <v>2002</v>
      </c>
      <c r="B124" t="s">
        <v>23</v>
      </c>
      <c r="C124" t="s">
        <v>17</v>
      </c>
      <c r="D124" s="6">
        <v>20.9</v>
      </c>
      <c r="E124" s="6">
        <v>7.1</v>
      </c>
      <c r="F124" s="6">
        <v>14.1</v>
      </c>
      <c r="G124" s="6">
        <v>238</v>
      </c>
      <c r="H124" s="8">
        <v>20.3</v>
      </c>
      <c r="I124" s="8">
        <v>9.1</v>
      </c>
      <c r="J124" s="8">
        <v>14.7</v>
      </c>
      <c r="K124" s="8">
        <v>436</v>
      </c>
      <c r="L124" s="9">
        <f t="shared" si="14"/>
        <v>-2.8708133971291767</v>
      </c>
      <c r="M124" s="9">
        <f t="shared" si="10"/>
        <v>28.169014084507044</v>
      </c>
      <c r="N124" s="9">
        <f t="shared" si="11"/>
        <v>4.2553191489361684</v>
      </c>
      <c r="O124" s="9">
        <f t="shared" si="12"/>
        <v>83.193277310924373</v>
      </c>
    </row>
    <row r="125" spans="1:15" x14ac:dyDescent="0.25">
      <c r="A125">
        <v>2004</v>
      </c>
      <c r="B125" t="s">
        <v>23</v>
      </c>
      <c r="C125" t="s">
        <v>17</v>
      </c>
      <c r="D125" s="6">
        <v>20.9</v>
      </c>
      <c r="E125" s="6">
        <v>7.1</v>
      </c>
      <c r="F125" s="6">
        <v>14.1</v>
      </c>
      <c r="G125" s="6">
        <v>238</v>
      </c>
      <c r="H125" s="7">
        <v>20.5</v>
      </c>
      <c r="I125" s="7">
        <v>6.9</v>
      </c>
      <c r="J125" s="7">
        <v>13.7</v>
      </c>
      <c r="K125" s="7">
        <v>194</v>
      </c>
      <c r="L125" s="9">
        <f t="shared" si="14"/>
        <v>-1.9138755980861177</v>
      </c>
      <c r="M125" s="9">
        <f t="shared" si="10"/>
        <v>-2.8169014084506943</v>
      </c>
      <c r="N125" s="9">
        <f t="shared" si="11"/>
        <v>-2.8368794326241162</v>
      </c>
      <c r="O125" s="9">
        <f t="shared" si="12"/>
        <v>-18.487394957983195</v>
      </c>
    </row>
    <row r="126" spans="1:15" x14ac:dyDescent="0.25">
      <c r="A126">
        <v>2015</v>
      </c>
      <c r="B126" t="s">
        <v>23</v>
      </c>
      <c r="C126" t="s">
        <v>17</v>
      </c>
      <c r="D126" s="6">
        <v>20.9</v>
      </c>
      <c r="E126" s="6">
        <v>7.1</v>
      </c>
      <c r="F126" s="6">
        <v>14.1</v>
      </c>
      <c r="G126" s="6">
        <v>238</v>
      </c>
      <c r="H126" s="8">
        <v>19.5</v>
      </c>
      <c r="I126" s="8">
        <v>6</v>
      </c>
      <c r="J126" s="8">
        <v>12.8</v>
      </c>
      <c r="K126" s="8">
        <v>176</v>
      </c>
      <c r="L126" s="9">
        <f t="shared" si="14"/>
        <v>-6.6985645933014286</v>
      </c>
      <c r="M126" s="9">
        <f t="shared" si="10"/>
        <v>-15.492957746478869</v>
      </c>
      <c r="N126" s="9">
        <f t="shared" si="11"/>
        <v>-9.2198581560283621</v>
      </c>
      <c r="O126" s="9">
        <f t="shared" si="12"/>
        <v>-26.05042016806723</v>
      </c>
    </row>
    <row r="127" spans="1:15" x14ac:dyDescent="0.25">
      <c r="A127">
        <v>2023</v>
      </c>
      <c r="B127" t="s">
        <v>23</v>
      </c>
      <c r="C127" t="s">
        <v>17</v>
      </c>
      <c r="D127" s="6">
        <v>20.9</v>
      </c>
      <c r="E127" s="6">
        <v>7.1</v>
      </c>
      <c r="F127" s="6">
        <v>14.1</v>
      </c>
      <c r="G127" s="6">
        <v>238</v>
      </c>
      <c r="H127" s="7">
        <v>20.9</v>
      </c>
      <c r="I127" s="7">
        <v>6.8</v>
      </c>
      <c r="J127" s="7">
        <v>13.9</v>
      </c>
      <c r="K127" s="7">
        <v>278</v>
      </c>
      <c r="L127" s="9">
        <f t="shared" si="14"/>
        <v>0</v>
      </c>
      <c r="M127" s="9">
        <f t="shared" si="10"/>
        <v>-4.2253521126760543</v>
      </c>
      <c r="N127" s="9">
        <f t="shared" si="11"/>
        <v>-1.4184397163120517</v>
      </c>
      <c r="O127" s="9">
        <f t="shared" si="12"/>
        <v>16.806722689075631</v>
      </c>
    </row>
    <row r="128" spans="1:15" x14ac:dyDescent="0.25">
      <c r="A128">
        <v>1982</v>
      </c>
      <c r="B128" t="s">
        <v>23</v>
      </c>
      <c r="C128" t="s">
        <v>18</v>
      </c>
      <c r="D128" s="6">
        <v>28.1</v>
      </c>
      <c r="E128" s="6">
        <v>13.3</v>
      </c>
      <c r="F128" s="6">
        <v>20.8</v>
      </c>
      <c r="G128" s="6">
        <v>300</v>
      </c>
      <c r="H128" s="7">
        <v>29.9</v>
      </c>
      <c r="I128" s="7">
        <v>14.1</v>
      </c>
      <c r="J128" s="7">
        <v>22</v>
      </c>
      <c r="K128" s="7">
        <v>177</v>
      </c>
      <c r="L128" s="9">
        <f t="shared" si="14"/>
        <v>6.4056939501779251</v>
      </c>
      <c r="M128" s="9">
        <f t="shared" si="10"/>
        <v>6.0150375939849541</v>
      </c>
      <c r="N128" s="9">
        <f t="shared" si="11"/>
        <v>5.7692307692307656</v>
      </c>
      <c r="O128" s="9">
        <f t="shared" si="12"/>
        <v>-41</v>
      </c>
    </row>
    <row r="129" spans="1:15" x14ac:dyDescent="0.25">
      <c r="A129">
        <v>1987</v>
      </c>
      <c r="B129" t="s">
        <v>23</v>
      </c>
      <c r="C129" t="s">
        <v>18</v>
      </c>
      <c r="D129" s="6">
        <v>28.1</v>
      </c>
      <c r="E129" s="6">
        <v>13.3</v>
      </c>
      <c r="F129" s="6">
        <v>20.8</v>
      </c>
      <c r="G129" s="6">
        <v>300</v>
      </c>
      <c r="H129" s="8">
        <v>26.9</v>
      </c>
      <c r="I129" s="8">
        <v>12.9</v>
      </c>
      <c r="J129" s="8">
        <v>19.899999999999999</v>
      </c>
      <c r="K129" s="8">
        <v>423</v>
      </c>
      <c r="L129" s="9">
        <f t="shared" si="14"/>
        <v>-4.2704626334519675</v>
      </c>
      <c r="M129" s="9">
        <f t="shared" si="10"/>
        <v>-3.0075187969924837</v>
      </c>
      <c r="N129" s="9">
        <f t="shared" si="11"/>
        <v>-4.3269230769230873</v>
      </c>
      <c r="O129" s="9">
        <f t="shared" si="12"/>
        <v>41</v>
      </c>
    </row>
    <row r="130" spans="1:15" x14ac:dyDescent="0.25">
      <c r="A130">
        <v>1991</v>
      </c>
      <c r="B130" t="s">
        <v>23</v>
      </c>
      <c r="C130" t="s">
        <v>18</v>
      </c>
      <c r="D130" s="6">
        <v>28.3</v>
      </c>
      <c r="E130" s="6">
        <v>13.3</v>
      </c>
      <c r="F130" s="6">
        <v>20.8</v>
      </c>
      <c r="G130" s="6">
        <v>280</v>
      </c>
      <c r="H130" s="7">
        <v>27</v>
      </c>
      <c r="I130" s="7">
        <v>14.1</v>
      </c>
      <c r="J130" s="7">
        <v>20.5</v>
      </c>
      <c r="K130" s="7">
        <v>506</v>
      </c>
      <c r="L130" s="9">
        <f t="shared" si="14"/>
        <v>-4.5936395759717339</v>
      </c>
      <c r="M130" s="9">
        <f t="shared" si="10"/>
        <v>6.0150375939849541</v>
      </c>
      <c r="N130" s="9">
        <f t="shared" si="11"/>
        <v>-1.4423076923076956</v>
      </c>
      <c r="O130" s="9">
        <f t="shared" si="12"/>
        <v>80.714285714285722</v>
      </c>
    </row>
    <row r="131" spans="1:15" x14ac:dyDescent="0.25">
      <c r="A131">
        <v>1994</v>
      </c>
      <c r="B131" t="s">
        <v>23</v>
      </c>
      <c r="C131" t="s">
        <v>18</v>
      </c>
      <c r="D131" s="6">
        <v>28.3</v>
      </c>
      <c r="E131" s="6">
        <v>13.3</v>
      </c>
      <c r="F131" s="6">
        <v>20.8</v>
      </c>
      <c r="G131" s="6">
        <v>280</v>
      </c>
      <c r="H131" s="8">
        <v>28.2</v>
      </c>
      <c r="I131" s="8">
        <v>12.9</v>
      </c>
      <c r="J131" s="8">
        <v>20.6</v>
      </c>
      <c r="K131" s="8">
        <v>262</v>
      </c>
      <c r="L131" s="9">
        <f t="shared" si="14"/>
        <v>-0.35335689045936897</v>
      </c>
      <c r="M131" s="9">
        <f t="shared" si="10"/>
        <v>-3.0075187969924837</v>
      </c>
      <c r="N131" s="9">
        <f t="shared" si="11"/>
        <v>-0.96153846153845812</v>
      </c>
      <c r="O131" s="9">
        <f t="shared" si="12"/>
        <v>-6.4285714285714279</v>
      </c>
    </row>
    <row r="132" spans="1:15" x14ac:dyDescent="0.25">
      <c r="A132">
        <v>1997</v>
      </c>
      <c r="B132" t="s">
        <v>23</v>
      </c>
      <c r="C132" t="s">
        <v>18</v>
      </c>
      <c r="D132" s="6">
        <v>28.3</v>
      </c>
      <c r="E132" s="6">
        <v>13.3</v>
      </c>
      <c r="F132" s="6">
        <v>20.8</v>
      </c>
      <c r="G132" s="6">
        <v>280</v>
      </c>
      <c r="H132" s="7">
        <v>25.4</v>
      </c>
      <c r="I132" s="7">
        <v>12.3</v>
      </c>
      <c r="J132" s="7">
        <v>18.8</v>
      </c>
      <c r="K132" s="7">
        <v>367</v>
      </c>
      <c r="L132" s="9">
        <f t="shared" si="14"/>
        <v>-10.247349823321562</v>
      </c>
      <c r="M132" s="9">
        <f t="shared" si="10"/>
        <v>-7.518796992481203</v>
      </c>
      <c r="N132" s="9">
        <f t="shared" si="11"/>
        <v>-9.615384615384615</v>
      </c>
      <c r="O132" s="9">
        <f t="shared" si="12"/>
        <v>31.071428571428573</v>
      </c>
    </row>
    <row r="133" spans="1:15" x14ac:dyDescent="0.25">
      <c r="A133">
        <v>2002</v>
      </c>
      <c r="B133" t="s">
        <v>23</v>
      </c>
      <c r="C133" t="s">
        <v>18</v>
      </c>
      <c r="D133" s="6">
        <v>28.3</v>
      </c>
      <c r="E133" s="6">
        <v>13.3</v>
      </c>
      <c r="F133" s="6">
        <v>20.8</v>
      </c>
      <c r="G133" s="6">
        <v>280</v>
      </c>
      <c r="H133" s="8">
        <v>28.2</v>
      </c>
      <c r="I133" s="8">
        <v>13.1</v>
      </c>
      <c r="J133" s="8">
        <v>20.6</v>
      </c>
      <c r="K133" s="8">
        <v>243</v>
      </c>
      <c r="L133" s="9">
        <f t="shared" si="14"/>
        <v>-0.35335689045936897</v>
      </c>
      <c r="M133" s="9">
        <f t="shared" si="10"/>
        <v>-1.5037593984962485</v>
      </c>
      <c r="N133" s="9">
        <f t="shared" si="11"/>
        <v>-0.96153846153845812</v>
      </c>
      <c r="O133" s="9">
        <f t="shared" si="12"/>
        <v>-13.214285714285715</v>
      </c>
    </row>
    <row r="134" spans="1:15" x14ac:dyDescent="0.25">
      <c r="A134">
        <v>2004</v>
      </c>
      <c r="B134" t="s">
        <v>23</v>
      </c>
      <c r="C134" t="s">
        <v>18</v>
      </c>
      <c r="D134" s="6">
        <v>28.3</v>
      </c>
      <c r="E134" s="6">
        <v>13.3</v>
      </c>
      <c r="F134" s="6">
        <v>20.8</v>
      </c>
      <c r="G134" s="6">
        <v>280</v>
      </c>
      <c r="H134" s="7">
        <v>27.9</v>
      </c>
      <c r="I134" s="7">
        <v>13.6</v>
      </c>
      <c r="J134" s="7">
        <v>20.8</v>
      </c>
      <c r="K134" s="7">
        <v>274</v>
      </c>
      <c r="L134" s="9">
        <f t="shared" si="14"/>
        <v>-1.4134275618374632</v>
      </c>
      <c r="M134" s="9">
        <f t="shared" si="10"/>
        <v>2.255639097744353</v>
      </c>
      <c r="N134" s="9">
        <f t="shared" si="11"/>
        <v>0</v>
      </c>
      <c r="O134" s="9">
        <f t="shared" si="12"/>
        <v>-2.1428571428571428</v>
      </c>
    </row>
    <row r="135" spans="1:15" x14ac:dyDescent="0.25">
      <c r="A135">
        <v>2015</v>
      </c>
      <c r="B135" t="s">
        <v>23</v>
      </c>
      <c r="C135" t="s">
        <v>18</v>
      </c>
      <c r="D135" s="6">
        <v>28.3</v>
      </c>
      <c r="E135" s="6">
        <v>13.3</v>
      </c>
      <c r="F135" s="6">
        <v>20.8</v>
      </c>
      <c r="G135" s="6">
        <v>280</v>
      </c>
      <c r="H135" s="8">
        <v>29.2</v>
      </c>
      <c r="I135" s="8">
        <v>14.5</v>
      </c>
      <c r="J135" s="8">
        <v>21.8</v>
      </c>
      <c r="K135" s="8">
        <v>303</v>
      </c>
      <c r="L135" s="9">
        <f t="shared" si="14"/>
        <v>3.1802120141342707</v>
      </c>
      <c r="M135" s="9">
        <f t="shared" si="10"/>
        <v>9.0225563909774369</v>
      </c>
      <c r="N135" s="9">
        <f t="shared" si="11"/>
        <v>4.8076923076923075</v>
      </c>
      <c r="O135" s="9">
        <f t="shared" si="12"/>
        <v>8.2142857142857135</v>
      </c>
    </row>
    <row r="136" spans="1:15" x14ac:dyDescent="0.25">
      <c r="A136">
        <v>2023</v>
      </c>
      <c r="B136" t="s">
        <v>23</v>
      </c>
      <c r="C136" t="s">
        <v>18</v>
      </c>
      <c r="D136" s="6">
        <v>28.3</v>
      </c>
      <c r="E136" s="6">
        <v>13.3</v>
      </c>
      <c r="F136" s="6">
        <v>20.8</v>
      </c>
      <c r="G136" s="6">
        <v>280</v>
      </c>
      <c r="H136" s="7">
        <v>28</v>
      </c>
      <c r="I136" s="7">
        <v>14.5</v>
      </c>
      <c r="J136" s="7">
        <v>21.3</v>
      </c>
      <c r="K136" s="7">
        <v>456</v>
      </c>
      <c r="L136" s="9">
        <f t="shared" si="14"/>
        <v>-1.0600706713780943</v>
      </c>
      <c r="M136" s="9">
        <f t="shared" si="10"/>
        <v>9.0225563909774369</v>
      </c>
      <c r="N136" s="9">
        <f t="shared" si="11"/>
        <v>2.4038461538461537</v>
      </c>
      <c r="O136" s="9">
        <f t="shared" si="12"/>
        <v>62.857142857142854</v>
      </c>
    </row>
    <row r="137" spans="1:15" x14ac:dyDescent="0.25">
      <c r="A137">
        <v>2015</v>
      </c>
      <c r="B137" t="s">
        <v>24</v>
      </c>
      <c r="C137" t="s">
        <v>18</v>
      </c>
      <c r="D137" s="10">
        <v>30</v>
      </c>
      <c r="E137" s="10">
        <v>14.2</v>
      </c>
      <c r="F137" s="10">
        <f t="shared" ref="F137:F144" si="15">+AVERAGE(D137:E137)</f>
        <v>22.1</v>
      </c>
      <c r="G137" s="10">
        <v>167.3</v>
      </c>
      <c r="H137" s="10">
        <v>29.9</v>
      </c>
      <c r="I137" s="10">
        <v>13.7</v>
      </c>
      <c r="J137" s="11">
        <f t="shared" ref="J137:J144" si="16">+AVERAGE(H137:I137)</f>
        <v>21.799999999999997</v>
      </c>
      <c r="K137" s="10">
        <v>61.8</v>
      </c>
      <c r="L137" s="10">
        <v>-0.5</v>
      </c>
      <c r="M137" s="10">
        <v>-2.9</v>
      </c>
      <c r="N137" s="10">
        <f t="shared" ref="N137:N144" si="17">+AVERAGE(L137:M137)</f>
        <v>-1.7</v>
      </c>
      <c r="O137" s="10">
        <v>-63.1</v>
      </c>
    </row>
    <row r="138" spans="1:15" x14ac:dyDescent="0.25">
      <c r="A138">
        <v>2023</v>
      </c>
      <c r="B138" t="s">
        <v>24</v>
      </c>
      <c r="C138" t="s">
        <v>18</v>
      </c>
      <c r="D138" s="10">
        <v>30</v>
      </c>
      <c r="E138" s="10">
        <v>14.2</v>
      </c>
      <c r="F138" s="10">
        <f t="shared" si="15"/>
        <v>22.1</v>
      </c>
      <c r="G138" s="10">
        <v>167.3</v>
      </c>
      <c r="H138" s="10">
        <v>30.6</v>
      </c>
      <c r="I138" s="10">
        <v>14.5</v>
      </c>
      <c r="J138" s="11">
        <f t="shared" si="16"/>
        <v>22.55</v>
      </c>
      <c r="K138" s="10">
        <v>96.5</v>
      </c>
      <c r="L138" s="10">
        <v>2</v>
      </c>
      <c r="M138" s="10">
        <v>2.1</v>
      </c>
      <c r="N138" s="10">
        <f t="shared" si="17"/>
        <v>2.0499999999999998</v>
      </c>
      <c r="O138" s="10">
        <v>-42.3</v>
      </c>
    </row>
    <row r="139" spans="1:15" x14ac:dyDescent="0.25">
      <c r="A139">
        <v>2015</v>
      </c>
      <c r="B139" t="s">
        <v>24</v>
      </c>
      <c r="C139" t="s">
        <v>3</v>
      </c>
      <c r="D139" s="10">
        <v>15.4</v>
      </c>
      <c r="E139" s="10">
        <v>3.7</v>
      </c>
      <c r="F139" s="10">
        <f t="shared" si="15"/>
        <v>9.5500000000000007</v>
      </c>
      <c r="G139" s="10">
        <v>108.2</v>
      </c>
      <c r="H139" s="10">
        <v>16.100000000000001</v>
      </c>
      <c r="I139" s="10">
        <v>4.5999999999999996</v>
      </c>
      <c r="J139" s="11">
        <f t="shared" si="16"/>
        <v>10.350000000000001</v>
      </c>
      <c r="K139" s="10">
        <v>170</v>
      </c>
      <c r="L139" s="10">
        <v>4.8</v>
      </c>
      <c r="M139" s="10">
        <v>25.1</v>
      </c>
      <c r="N139" s="10">
        <f t="shared" si="17"/>
        <v>14.950000000000001</v>
      </c>
      <c r="O139" s="10">
        <v>57</v>
      </c>
    </row>
    <row r="140" spans="1:15" x14ac:dyDescent="0.25">
      <c r="A140">
        <v>2023</v>
      </c>
      <c r="B140" t="s">
        <v>24</v>
      </c>
      <c r="C140" t="s">
        <v>3</v>
      </c>
      <c r="D140" s="10">
        <v>15.4</v>
      </c>
      <c r="E140" s="10">
        <v>3.7</v>
      </c>
      <c r="F140" s="10">
        <f t="shared" si="15"/>
        <v>9.5500000000000007</v>
      </c>
      <c r="G140" s="10">
        <v>108.2</v>
      </c>
      <c r="H140" s="10">
        <v>14.1</v>
      </c>
      <c r="I140" s="10">
        <v>3.6</v>
      </c>
      <c r="J140" s="11">
        <f t="shared" si="16"/>
        <v>8.85</v>
      </c>
      <c r="K140" s="10">
        <v>108.2</v>
      </c>
      <c r="L140" s="10">
        <v>-8</v>
      </c>
      <c r="M140" s="10">
        <v>-3</v>
      </c>
      <c r="N140" s="10">
        <f t="shared" si="17"/>
        <v>-5.5</v>
      </c>
      <c r="O140" s="10">
        <v>0</v>
      </c>
    </row>
    <row r="141" spans="1:15" x14ac:dyDescent="0.25">
      <c r="A141">
        <v>2015</v>
      </c>
      <c r="B141" t="s">
        <v>24</v>
      </c>
      <c r="C141" t="s">
        <v>17</v>
      </c>
      <c r="D141" s="10">
        <v>22.1</v>
      </c>
      <c r="E141" s="10">
        <v>8.3000000000000007</v>
      </c>
      <c r="F141" s="10">
        <f t="shared" si="15"/>
        <v>15.200000000000001</v>
      </c>
      <c r="G141" s="10">
        <v>141.80000000000001</v>
      </c>
      <c r="H141" s="10">
        <v>20.6</v>
      </c>
      <c r="I141" s="10">
        <v>6.6</v>
      </c>
      <c r="J141" s="11">
        <f t="shared" si="16"/>
        <v>13.600000000000001</v>
      </c>
      <c r="K141" s="10">
        <v>114.2</v>
      </c>
      <c r="L141" s="10">
        <v>-6.8</v>
      </c>
      <c r="M141" s="10">
        <v>-20.3</v>
      </c>
      <c r="N141" s="10">
        <f t="shared" si="17"/>
        <v>-13.55</v>
      </c>
      <c r="O141" s="10">
        <v>-19.399999999999999</v>
      </c>
    </row>
    <row r="142" spans="1:15" x14ac:dyDescent="0.25">
      <c r="A142">
        <v>2023</v>
      </c>
      <c r="B142" t="s">
        <v>24</v>
      </c>
      <c r="C142" t="s">
        <v>17</v>
      </c>
      <c r="D142" s="10">
        <v>22.1</v>
      </c>
      <c r="E142" s="10">
        <v>8.3000000000000007</v>
      </c>
      <c r="F142" s="10">
        <f t="shared" si="15"/>
        <v>15.200000000000001</v>
      </c>
      <c r="G142" s="10">
        <v>141.80000000000001</v>
      </c>
      <c r="H142" s="10">
        <v>21</v>
      </c>
      <c r="I142" s="10">
        <v>8.6999999999999993</v>
      </c>
      <c r="J142" s="11">
        <f t="shared" si="16"/>
        <v>14.85</v>
      </c>
      <c r="K142" s="10">
        <v>152</v>
      </c>
      <c r="L142" s="10">
        <v>-4.9000000000000004</v>
      </c>
      <c r="M142" s="10">
        <v>5.2</v>
      </c>
      <c r="N142" s="10">
        <f t="shared" si="17"/>
        <v>0.14999999999999991</v>
      </c>
      <c r="O142" s="10">
        <v>7.2</v>
      </c>
    </row>
    <row r="143" spans="1:15" x14ac:dyDescent="0.25">
      <c r="A143">
        <v>2015</v>
      </c>
      <c r="B143" t="s">
        <v>25</v>
      </c>
      <c r="C143" t="s">
        <v>18</v>
      </c>
      <c r="D143" s="10">
        <v>28.9</v>
      </c>
      <c r="E143" s="10">
        <v>13.1</v>
      </c>
      <c r="F143" s="10">
        <f t="shared" si="15"/>
        <v>21</v>
      </c>
      <c r="G143" s="10">
        <v>134.19999999999999</v>
      </c>
      <c r="H143" s="10">
        <v>28.9</v>
      </c>
      <c r="I143" s="10">
        <v>12.6</v>
      </c>
      <c r="J143" s="11">
        <f t="shared" si="16"/>
        <v>20.75</v>
      </c>
      <c r="K143" s="10">
        <v>167</v>
      </c>
      <c r="L143" s="10">
        <v>0</v>
      </c>
      <c r="M143" s="10">
        <v>-3.8</v>
      </c>
      <c r="N143" s="10">
        <f t="shared" si="17"/>
        <v>-1.9</v>
      </c>
      <c r="O143" s="10">
        <v>24.4</v>
      </c>
    </row>
    <row r="144" spans="1:15" x14ac:dyDescent="0.25">
      <c r="A144">
        <v>2023</v>
      </c>
      <c r="B144" t="s">
        <v>25</v>
      </c>
      <c r="C144" t="s">
        <v>18</v>
      </c>
      <c r="D144" s="10">
        <v>28.9</v>
      </c>
      <c r="E144" s="10">
        <v>13.1</v>
      </c>
      <c r="F144" s="10">
        <f t="shared" si="15"/>
        <v>21</v>
      </c>
      <c r="G144" s="10">
        <v>134.19999999999999</v>
      </c>
      <c r="H144" s="10">
        <v>29.2</v>
      </c>
      <c r="I144" s="10">
        <v>13.7</v>
      </c>
      <c r="J144" s="11">
        <f t="shared" si="16"/>
        <v>21.45</v>
      </c>
      <c r="K144" s="10">
        <v>0</v>
      </c>
      <c r="L144" s="10">
        <v>1.3</v>
      </c>
      <c r="M144" s="10">
        <v>4.9000000000000004</v>
      </c>
      <c r="N144" s="10">
        <f t="shared" si="17"/>
        <v>3.1</v>
      </c>
      <c r="O144" s="10">
        <v>-100</v>
      </c>
    </row>
    <row r="145" spans="1:15" x14ac:dyDescent="0.25">
      <c r="A145">
        <v>2015</v>
      </c>
      <c r="B145" t="s">
        <v>25</v>
      </c>
      <c r="C145" t="s">
        <v>3</v>
      </c>
      <c r="D145" s="10">
        <v>15.2</v>
      </c>
      <c r="E145" s="10">
        <v>3.4</v>
      </c>
      <c r="F145" s="10">
        <f t="shared" ref="F145:F148" si="18">+AVERAGE(D145:E145)</f>
        <v>9.2999999999999989</v>
      </c>
      <c r="G145" s="10">
        <v>111.9</v>
      </c>
      <c r="H145" s="10">
        <v>16</v>
      </c>
      <c r="I145" s="10">
        <v>4.8</v>
      </c>
      <c r="J145" s="11">
        <f t="shared" ref="J145:J148" si="19">+AVERAGE(H145:I145)</f>
        <v>10.4</v>
      </c>
      <c r="K145" s="10">
        <v>285</v>
      </c>
      <c r="L145" s="10">
        <v>5.8</v>
      </c>
      <c r="M145" s="10">
        <v>40.6</v>
      </c>
      <c r="N145" s="10">
        <f t="shared" ref="N145:N148" si="20">+AVERAGE(L145:M145)</f>
        <v>23.2</v>
      </c>
      <c r="O145" s="10">
        <v>154.69999999999999</v>
      </c>
    </row>
    <row r="146" spans="1:15" x14ac:dyDescent="0.25">
      <c r="A146">
        <v>2023</v>
      </c>
      <c r="B146" t="s">
        <v>25</v>
      </c>
      <c r="C146" t="s">
        <v>3</v>
      </c>
      <c r="D146" s="10">
        <v>15.2</v>
      </c>
      <c r="E146" s="10">
        <v>3.4</v>
      </c>
      <c r="F146" s="10">
        <f t="shared" si="18"/>
        <v>9.2999999999999989</v>
      </c>
      <c r="G146" s="10">
        <v>111.9</v>
      </c>
      <c r="H146" s="10">
        <v>14.8</v>
      </c>
      <c r="I146" s="10">
        <v>3.8</v>
      </c>
      <c r="J146" s="11">
        <f t="shared" si="19"/>
        <v>9.3000000000000007</v>
      </c>
      <c r="K146" s="10">
        <v>0</v>
      </c>
      <c r="L146" s="10">
        <v>-2.2000000000000002</v>
      </c>
      <c r="M146" s="10">
        <v>11</v>
      </c>
      <c r="N146" s="10">
        <f t="shared" si="20"/>
        <v>4.4000000000000004</v>
      </c>
      <c r="O146" s="10">
        <v>-100</v>
      </c>
    </row>
    <row r="147" spans="1:15" x14ac:dyDescent="0.25">
      <c r="A147">
        <v>2015</v>
      </c>
      <c r="B147" t="s">
        <v>25</v>
      </c>
      <c r="C147" t="s">
        <v>17</v>
      </c>
      <c r="D147" s="10">
        <v>21.4</v>
      </c>
      <c r="E147" s="10">
        <v>7.3</v>
      </c>
      <c r="F147" s="10">
        <f t="shared" si="18"/>
        <v>14.35</v>
      </c>
      <c r="G147" s="10">
        <v>142.19999999999999</v>
      </c>
      <c r="H147" s="10">
        <v>20.5</v>
      </c>
      <c r="I147" s="10">
        <v>6.4</v>
      </c>
      <c r="J147" s="11">
        <f t="shared" si="19"/>
        <v>13.45</v>
      </c>
      <c r="K147" s="10">
        <v>124.5</v>
      </c>
      <c r="L147" s="10">
        <v>-4.5</v>
      </c>
      <c r="M147" s="10">
        <v>-12.2</v>
      </c>
      <c r="N147" s="10">
        <f t="shared" si="20"/>
        <v>-8.35</v>
      </c>
      <c r="O147" s="10">
        <v>-12.4</v>
      </c>
    </row>
    <row r="148" spans="1:15" x14ac:dyDescent="0.25">
      <c r="A148">
        <v>2023</v>
      </c>
      <c r="B148" t="s">
        <v>25</v>
      </c>
      <c r="C148" t="s">
        <v>17</v>
      </c>
      <c r="D148" s="10">
        <v>21.4</v>
      </c>
      <c r="E148" s="10">
        <v>7.3</v>
      </c>
      <c r="F148" s="10">
        <f t="shared" si="18"/>
        <v>14.35</v>
      </c>
      <c r="G148" s="10">
        <v>142.19999999999999</v>
      </c>
      <c r="H148" s="10">
        <v>20.399999999999999</v>
      </c>
      <c r="I148" s="10">
        <v>5.7</v>
      </c>
      <c r="J148" s="11">
        <f t="shared" si="19"/>
        <v>13.049999999999999</v>
      </c>
      <c r="K148" s="10"/>
      <c r="L148" s="10">
        <v>-4.7</v>
      </c>
      <c r="M148" s="10">
        <v>-22.2</v>
      </c>
      <c r="N148" s="10">
        <f t="shared" si="20"/>
        <v>-13.45</v>
      </c>
      <c r="O148" s="10"/>
    </row>
  </sheetData>
  <pageMargins left="0.7" right="0.7" top="0.75" bottom="0.75" header="0.3" footer="0.3"/>
  <ignoredErrors>
    <ignoredError sqref="J137 J139 N137 J138 N138 N139 J140 N140 J141 N141 J142 N142 J143 N143 J144 N144 J145 N145 J146 N146 J147 N147 J148 N14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Andresa Lewczuk</dc:creator>
  <cp:lastModifiedBy>Nuria Andresa Lewczuk</cp:lastModifiedBy>
  <dcterms:created xsi:type="dcterms:W3CDTF">2026-06-29T16:41:34Z</dcterms:created>
  <dcterms:modified xsi:type="dcterms:W3CDTF">2026-08-06T15:55:13Z</dcterms:modified>
</cp:coreProperties>
</file>